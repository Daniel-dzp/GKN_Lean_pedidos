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84f39f2d3e56a61/Home/"/>
    </mc:Choice>
  </mc:AlternateContent>
  <xr:revisionPtr revIDLastSave="1927" documentId="8_{6C2FE44C-E300-440A-9EA4-A0353DFCEA33}" xr6:coauthVersionLast="47" xr6:coauthVersionMax="47" xr10:uidLastSave="{4B3192C5-3830-4565-B05D-95E743E3867E}"/>
  <bookViews>
    <workbookView xWindow="-120" yWindow="-120" windowWidth="29040" windowHeight="15840" activeTab="5" xr2:uid="{D74BEFB0-0F91-4F45-9664-7C4B581BF967}"/>
  </bookViews>
  <sheets>
    <sheet name="TORTAS ORLANZINI" sheetId="1" r:id="rId1"/>
    <sheet name="TACOS EL CHANGO" sheetId="7" r:id="rId2"/>
    <sheet name="TACOS D'LEO" sheetId="12" r:id="rId3"/>
    <sheet name="SABROSI" sheetId="9" r:id="rId4"/>
    <sheet name="TACOS EL CEJAS" sheetId="2" r:id="rId5"/>
    <sheet name="GASPE" sheetId="13" r:id="rId6"/>
    <sheet name="Acerca de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2" l="1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S15" i="13"/>
  <c r="S14" i="13"/>
  <c r="S13" i="13"/>
  <c r="S12" i="13"/>
  <c r="S11" i="13"/>
  <c r="S10" i="13"/>
  <c r="S9" i="13"/>
  <c r="T8" i="13"/>
  <c r="S8" i="13"/>
  <c r="T7" i="13"/>
  <c r="S7" i="13"/>
  <c r="S6" i="13"/>
  <c r="AT29" i="12"/>
  <c r="AS29" i="12"/>
  <c r="AT28" i="12"/>
  <c r="AS28" i="12"/>
  <c r="AT27" i="12"/>
  <c r="AS27" i="12"/>
  <c r="AT26" i="12"/>
  <c r="AS26" i="12"/>
  <c r="AT25" i="12"/>
  <c r="AS25" i="12"/>
  <c r="AT24" i="12"/>
  <c r="AS24" i="12"/>
  <c r="AT23" i="12"/>
  <c r="AS23" i="12"/>
  <c r="AT22" i="12"/>
  <c r="AS22" i="12"/>
  <c r="AT21" i="12"/>
  <c r="AS21" i="12"/>
  <c r="AT20" i="12"/>
  <c r="AS20" i="12"/>
  <c r="AT19" i="12"/>
  <c r="AS19" i="12"/>
  <c r="AT18" i="12"/>
  <c r="AS18" i="12"/>
  <c r="AT17" i="12"/>
  <c r="AS17" i="12"/>
  <c r="AS16" i="12"/>
  <c r="AS15" i="12"/>
  <c r="AS14" i="12"/>
  <c r="AS13" i="12"/>
  <c r="AS12" i="12"/>
  <c r="AS11" i="12"/>
  <c r="AS10" i="12"/>
  <c r="AS9" i="12"/>
  <c r="AS8" i="12"/>
  <c r="AS7" i="12"/>
  <c r="V8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U6" i="9"/>
  <c r="U23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4" i="9"/>
  <c r="U25" i="9"/>
  <c r="U26" i="9"/>
  <c r="U27" i="9"/>
  <c r="U28" i="9"/>
  <c r="M28" i="7"/>
  <c r="L28" i="7"/>
  <c r="M27" i="7"/>
  <c r="L27" i="7"/>
  <c r="M26" i="7"/>
  <c r="L26" i="7"/>
  <c r="M25" i="7"/>
  <c r="L25" i="7"/>
  <c r="M24" i="7"/>
  <c r="L24" i="7"/>
  <c r="M23" i="7"/>
  <c r="L23" i="7"/>
  <c r="M22" i="7"/>
  <c r="L22" i="7"/>
  <c r="M21" i="7"/>
  <c r="L21" i="7"/>
  <c r="M20" i="7"/>
  <c r="L20" i="7"/>
  <c r="M19" i="7"/>
  <c r="L19" i="7"/>
  <c r="L18" i="7"/>
  <c r="M17" i="7"/>
  <c r="L17" i="7"/>
  <c r="L16" i="7"/>
  <c r="L15" i="7"/>
  <c r="L14" i="7"/>
  <c r="L13" i="7"/>
  <c r="L12" i="7"/>
  <c r="L11" i="7"/>
  <c r="L10" i="7"/>
  <c r="L9" i="7"/>
  <c r="L8" i="7"/>
  <c r="L7" i="7"/>
  <c r="L6" i="7"/>
  <c r="N8" i="2"/>
  <c r="N6" i="2"/>
  <c r="N7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5" i="2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O27" i="2"/>
  <c r="O24" i="2"/>
  <c r="P24" i="2" s="1"/>
  <c r="R24" i="2" s="1"/>
  <c r="O23" i="2"/>
  <c r="O22" i="2"/>
  <c r="O21" i="2"/>
  <c r="O19" i="2"/>
  <c r="O18" i="2"/>
  <c r="O17" i="2"/>
  <c r="O15" i="2"/>
  <c r="AC8" i="13" l="1"/>
  <c r="AC9" i="13" s="1"/>
  <c r="T6" i="13" s="1"/>
  <c r="U6" i="13" s="1"/>
  <c r="W6" i="13" s="1"/>
  <c r="AC4" i="13"/>
  <c r="AC6" i="13" s="1"/>
  <c r="U8" i="13"/>
  <c r="W8" i="13" s="1"/>
  <c r="U7" i="13"/>
  <c r="W7" i="13" s="1"/>
  <c r="U17" i="13"/>
  <c r="W17" i="13" s="1"/>
  <c r="U19" i="13"/>
  <c r="W19" i="13" s="1"/>
  <c r="U21" i="13"/>
  <c r="W21" i="13" s="1"/>
  <c r="U23" i="13"/>
  <c r="W23" i="13" s="1"/>
  <c r="U25" i="13"/>
  <c r="W25" i="13" s="1"/>
  <c r="U27" i="13"/>
  <c r="W27" i="13" s="1"/>
  <c r="U16" i="13"/>
  <c r="W16" i="13" s="1"/>
  <c r="U18" i="13"/>
  <c r="W18" i="13" s="1"/>
  <c r="U20" i="13"/>
  <c r="W20" i="13" s="1"/>
  <c r="U22" i="13"/>
  <c r="W22" i="13" s="1"/>
  <c r="U24" i="13"/>
  <c r="W24" i="13" s="1"/>
  <c r="U26" i="13"/>
  <c r="W26" i="13" s="1"/>
  <c r="U28" i="13"/>
  <c r="W28" i="13" s="1"/>
  <c r="BC5" i="12"/>
  <c r="BC7" i="12" s="1"/>
  <c r="AU18" i="12"/>
  <c r="AW18" i="12" s="1"/>
  <c r="AU20" i="12"/>
  <c r="AW20" i="12" s="1"/>
  <c r="AU22" i="12"/>
  <c r="AW22" i="12" s="1"/>
  <c r="AU24" i="12"/>
  <c r="AW24" i="12" s="1"/>
  <c r="AU26" i="12"/>
  <c r="AW26" i="12" s="1"/>
  <c r="AU28" i="12"/>
  <c r="AW28" i="12" s="1"/>
  <c r="AU17" i="12"/>
  <c r="AW17" i="12" s="1"/>
  <c r="AU19" i="12"/>
  <c r="AW19" i="12" s="1"/>
  <c r="AU21" i="12"/>
  <c r="AW21" i="12" s="1"/>
  <c r="AU23" i="12"/>
  <c r="AW23" i="12" s="1"/>
  <c r="AU25" i="12"/>
  <c r="AW25" i="12" s="1"/>
  <c r="AU27" i="12"/>
  <c r="AW27" i="12" s="1"/>
  <c r="AU29" i="12"/>
  <c r="AW29" i="12" s="1"/>
  <c r="BC9" i="12"/>
  <c r="BC10" i="12" s="1"/>
  <c r="AE4" i="9"/>
  <c r="AE6" i="9" s="1"/>
  <c r="AT8" i="1"/>
  <c r="AT9" i="1" s="1"/>
  <c r="P23" i="2"/>
  <c r="R23" i="2" s="1"/>
  <c r="X7" i="2"/>
  <c r="X8" i="2" s="1"/>
  <c r="O20" i="2" s="1"/>
  <c r="P20" i="2" s="1"/>
  <c r="R20" i="2" s="1"/>
  <c r="W24" i="9"/>
  <c r="Y24" i="9" s="1"/>
  <c r="W17" i="9"/>
  <c r="Y17" i="9" s="1"/>
  <c r="W19" i="9"/>
  <c r="Y19" i="9" s="1"/>
  <c r="W21" i="9"/>
  <c r="Y21" i="9" s="1"/>
  <c r="W23" i="9"/>
  <c r="Y23" i="9" s="1"/>
  <c r="W25" i="9"/>
  <c r="Y25" i="9" s="1"/>
  <c r="W27" i="9"/>
  <c r="Y27" i="9" s="1"/>
  <c r="W16" i="9"/>
  <c r="Y16" i="9" s="1"/>
  <c r="W18" i="9"/>
  <c r="Y18" i="9" s="1"/>
  <c r="W20" i="9"/>
  <c r="Y20" i="9" s="1"/>
  <c r="W22" i="9"/>
  <c r="Y22" i="9" s="1"/>
  <c r="W26" i="9"/>
  <c r="Y26" i="9" s="1"/>
  <c r="AE8" i="9"/>
  <c r="AE9" i="9" s="1"/>
  <c r="V15" i="9" s="1"/>
  <c r="W28" i="9"/>
  <c r="Y28" i="9" s="1"/>
  <c r="W8" i="9"/>
  <c r="Y8" i="9" s="1"/>
  <c r="P27" i="2"/>
  <c r="R27" i="2" s="1"/>
  <c r="P19" i="2"/>
  <c r="R19" i="2" s="1"/>
  <c r="N17" i="7"/>
  <c r="P17" i="7" s="1"/>
  <c r="N20" i="7"/>
  <c r="P20" i="7" s="1"/>
  <c r="N22" i="7"/>
  <c r="P22" i="7" s="1"/>
  <c r="N25" i="7"/>
  <c r="P25" i="7" s="1"/>
  <c r="N27" i="7"/>
  <c r="P27" i="7" s="1"/>
  <c r="N21" i="7"/>
  <c r="P21" i="7" s="1"/>
  <c r="N24" i="7"/>
  <c r="P24" i="7" s="1"/>
  <c r="N26" i="7"/>
  <c r="P26" i="7" s="1"/>
  <c r="N19" i="7"/>
  <c r="P19" i="7" s="1"/>
  <c r="N28" i="7"/>
  <c r="P28" i="7" s="1"/>
  <c r="V4" i="7"/>
  <c r="V6" i="7" s="1"/>
  <c r="N23" i="7"/>
  <c r="P23" i="7" s="1"/>
  <c r="V8" i="7"/>
  <c r="V9" i="7" s="1"/>
  <c r="X3" i="2"/>
  <c r="X5" i="2" s="1"/>
  <c r="P22" i="2"/>
  <c r="R22" i="2" s="1"/>
  <c r="P18" i="2"/>
  <c r="R18" i="2" s="1"/>
  <c r="P21" i="2"/>
  <c r="R21" i="2" s="1"/>
  <c r="P17" i="2"/>
  <c r="R17" i="2" s="1"/>
  <c r="P15" i="2"/>
  <c r="R15" i="2" s="1"/>
  <c r="T11" i="13" l="1"/>
  <c r="U11" i="13" s="1"/>
  <c r="W11" i="13" s="1"/>
  <c r="M16" i="7"/>
  <c r="N16" i="7" s="1"/>
  <c r="P16" i="7" s="1"/>
  <c r="M12" i="7"/>
  <c r="N12" i="7" s="1"/>
  <c r="P12" i="7" s="1"/>
  <c r="T14" i="13"/>
  <c r="U14" i="13" s="1"/>
  <c r="W14" i="13" s="1"/>
  <c r="T15" i="13"/>
  <c r="U15" i="13" s="1"/>
  <c r="W15" i="13" s="1"/>
  <c r="T12" i="13"/>
  <c r="U12" i="13" s="1"/>
  <c r="W12" i="13" s="1"/>
  <c r="T13" i="13"/>
  <c r="U13" i="13" s="1"/>
  <c r="W13" i="13" s="1"/>
  <c r="T9" i="13"/>
  <c r="U9" i="13" s="1"/>
  <c r="W9" i="13" s="1"/>
  <c r="T10" i="13"/>
  <c r="U10" i="13" s="1"/>
  <c r="W10" i="13" s="1"/>
  <c r="AT9" i="12"/>
  <c r="AU9" i="12" s="1"/>
  <c r="AW9" i="12" s="1"/>
  <c r="AT16" i="12"/>
  <c r="AU16" i="12" s="1"/>
  <c r="AW16" i="12" s="1"/>
  <c r="AT8" i="12"/>
  <c r="AU8" i="12" s="1"/>
  <c r="AW8" i="12" s="1"/>
  <c r="AT14" i="12"/>
  <c r="AU14" i="12" s="1"/>
  <c r="AW14" i="12" s="1"/>
  <c r="AT12" i="12"/>
  <c r="AU12" i="12" s="1"/>
  <c r="AW12" i="12" s="1"/>
  <c r="AT10" i="12"/>
  <c r="AU10" i="12" s="1"/>
  <c r="AW10" i="12" s="1"/>
  <c r="AT7" i="12"/>
  <c r="AU7" i="12" s="1"/>
  <c r="AT15" i="12"/>
  <c r="AU15" i="12" s="1"/>
  <c r="AW15" i="12" s="1"/>
  <c r="AT13" i="12"/>
  <c r="AU13" i="12" s="1"/>
  <c r="AW13" i="12" s="1"/>
  <c r="AT11" i="12"/>
  <c r="AU11" i="12" s="1"/>
  <c r="AW11" i="12" s="1"/>
  <c r="V13" i="9"/>
  <c r="W13" i="9" s="1"/>
  <c r="Y13" i="9" s="1"/>
  <c r="V14" i="9"/>
  <c r="W14" i="9" s="1"/>
  <c r="Y14" i="9" s="1"/>
  <c r="V12" i="9"/>
  <c r="W12" i="9" s="1"/>
  <c r="Y12" i="9" s="1"/>
  <c r="V10" i="9"/>
  <c r="W10" i="9" s="1"/>
  <c r="Y10" i="9" s="1"/>
  <c r="V7" i="9"/>
  <c r="W7" i="9" s="1"/>
  <c r="Y7" i="9" s="1"/>
  <c r="V11" i="9"/>
  <c r="W11" i="9" s="1"/>
  <c r="Y11" i="9" s="1"/>
  <c r="V9" i="9"/>
  <c r="W9" i="9" s="1"/>
  <c r="Y9" i="9" s="1"/>
  <c r="V6" i="9"/>
  <c r="W6" i="9" s="1"/>
  <c r="Y6" i="9" s="1"/>
  <c r="W15" i="9"/>
  <c r="Y15" i="9" s="1"/>
  <c r="M15" i="7"/>
  <c r="N15" i="7" s="1"/>
  <c r="P15" i="7" s="1"/>
  <c r="M9" i="7"/>
  <c r="N9" i="7" s="1"/>
  <c r="P9" i="7" s="1"/>
  <c r="M6" i="7"/>
  <c r="N6" i="7" s="1"/>
  <c r="P6" i="7" s="1"/>
  <c r="M7" i="7"/>
  <c r="N7" i="7" s="1"/>
  <c r="P7" i="7" s="1"/>
  <c r="M18" i="7"/>
  <c r="N18" i="7" s="1"/>
  <c r="P18" i="7" s="1"/>
  <c r="M10" i="7"/>
  <c r="N10" i="7" s="1"/>
  <c r="P10" i="7" s="1"/>
  <c r="M13" i="7"/>
  <c r="N13" i="7" s="1"/>
  <c r="P13" i="7" s="1"/>
  <c r="M14" i="7"/>
  <c r="N14" i="7" s="1"/>
  <c r="P14" i="7" s="1"/>
  <c r="M8" i="7"/>
  <c r="N8" i="7" s="1"/>
  <c r="P8" i="7" s="1"/>
  <c r="M11" i="7"/>
  <c r="N11" i="7" s="1"/>
  <c r="P11" i="7" s="1"/>
  <c r="O8" i="2"/>
  <c r="P8" i="2" s="1"/>
  <c r="R8" i="2" s="1"/>
  <c r="O12" i="2"/>
  <c r="P12" i="2" s="1"/>
  <c r="R12" i="2" s="1"/>
  <c r="O10" i="2"/>
  <c r="P10" i="2" s="1"/>
  <c r="R10" i="2" s="1"/>
  <c r="O13" i="2"/>
  <c r="P13" i="2" s="1"/>
  <c r="R13" i="2" s="1"/>
  <c r="O26" i="2"/>
  <c r="P26" i="2" s="1"/>
  <c r="R26" i="2" s="1"/>
  <c r="O7" i="2"/>
  <c r="P7" i="2" s="1"/>
  <c r="R7" i="2" s="1"/>
  <c r="AT4" i="1"/>
  <c r="AT6" i="1" s="1"/>
  <c r="AK6" i="1"/>
  <c r="U30" i="13" l="1"/>
  <c r="AU31" i="12"/>
  <c r="AW7" i="12"/>
  <c r="W30" i="9"/>
  <c r="N30" i="7"/>
  <c r="AK7" i="1"/>
  <c r="AL7" i="1" s="1"/>
  <c r="AN7" i="1" s="1"/>
  <c r="AK28" i="1"/>
  <c r="AL28" i="1" s="1"/>
  <c r="AN28" i="1" s="1"/>
  <c r="AK24" i="1"/>
  <c r="AL24" i="1" s="1"/>
  <c r="AN24" i="1" s="1"/>
  <c r="AK20" i="1"/>
  <c r="AL20" i="1" s="1"/>
  <c r="AN20" i="1" s="1"/>
  <c r="AK16" i="1"/>
  <c r="AL16" i="1" s="1"/>
  <c r="AN16" i="1" s="1"/>
  <c r="AK22" i="1"/>
  <c r="AL22" i="1" s="1"/>
  <c r="AN22" i="1" s="1"/>
  <c r="AK21" i="1"/>
  <c r="AL21" i="1" s="1"/>
  <c r="AN21" i="1" s="1"/>
  <c r="AK12" i="1"/>
  <c r="AL12" i="1" s="1"/>
  <c r="AN12" i="1" s="1"/>
  <c r="AK27" i="1"/>
  <c r="AL27" i="1" s="1"/>
  <c r="AN27" i="1" s="1"/>
  <c r="AK23" i="1"/>
  <c r="AL23" i="1" s="1"/>
  <c r="AN23" i="1" s="1"/>
  <c r="AK19" i="1"/>
  <c r="AL19" i="1" s="1"/>
  <c r="AN19" i="1" s="1"/>
  <c r="AK15" i="1"/>
  <c r="AL15" i="1" s="1"/>
  <c r="AN15" i="1" s="1"/>
  <c r="AK26" i="1"/>
  <c r="AL26" i="1" s="1"/>
  <c r="AN26" i="1" s="1"/>
  <c r="AK18" i="1"/>
  <c r="AL18" i="1" s="1"/>
  <c r="AN18" i="1" s="1"/>
  <c r="AK14" i="1"/>
  <c r="AL14" i="1" s="1"/>
  <c r="AN14" i="1" s="1"/>
  <c r="AK25" i="1"/>
  <c r="AL25" i="1" s="1"/>
  <c r="AN25" i="1" s="1"/>
  <c r="AK17" i="1"/>
  <c r="AL17" i="1" s="1"/>
  <c r="AN17" i="1" s="1"/>
  <c r="AK10" i="1"/>
  <c r="AL10" i="1" s="1"/>
  <c r="AN10" i="1" s="1"/>
  <c r="AK13" i="1"/>
  <c r="AL13" i="1" s="1"/>
  <c r="AN13" i="1" s="1"/>
  <c r="AK11" i="1"/>
  <c r="AL11" i="1" s="1"/>
  <c r="AN11" i="1" s="1"/>
  <c r="AK8" i="1"/>
  <c r="AL8" i="1" s="1"/>
  <c r="AN8" i="1" s="1"/>
  <c r="AL6" i="1"/>
  <c r="AN6" i="1" s="1"/>
  <c r="AK9" i="1"/>
  <c r="AL9" i="1" s="1"/>
  <c r="AN9" i="1" s="1"/>
  <c r="AL30" i="1" l="1"/>
  <c r="O9" i="2"/>
  <c r="P9" i="2" s="1"/>
  <c r="R9" i="2" s="1"/>
  <c r="O11" i="2" l="1"/>
  <c r="P11" i="2" s="1"/>
  <c r="R11" i="2" s="1"/>
  <c r="O16" i="2"/>
  <c r="P16" i="2" s="1"/>
  <c r="R16" i="2" s="1"/>
  <c r="P5" i="2"/>
  <c r="R5" i="2" s="1"/>
  <c r="O14" i="2"/>
  <c r="P14" i="2" s="1"/>
  <c r="R14" i="2" s="1"/>
  <c r="O25" i="2"/>
  <c r="P25" i="2" s="1"/>
  <c r="R25" i="2" s="1"/>
  <c r="O6" i="2"/>
  <c r="P6" i="2" s="1"/>
  <c r="R6" i="2" s="1"/>
  <c r="P29" i="2" l="1"/>
</calcChain>
</file>

<file path=xl/sharedStrings.xml><?xml version="1.0" encoding="utf-8"?>
<sst xmlns="http://schemas.openxmlformats.org/spreadsheetml/2006/main" count="466" uniqueCount="144">
  <si>
    <t>Total</t>
  </si>
  <si>
    <t>Nombre</t>
  </si>
  <si>
    <t>Daniel</t>
  </si>
  <si>
    <t>No.</t>
  </si>
  <si>
    <t>No Personas</t>
  </si>
  <si>
    <t>Costo Envio X Persona</t>
  </si>
  <si>
    <t>Santi</t>
  </si>
  <si>
    <t>Jorge</t>
  </si>
  <si>
    <t>Rodri</t>
  </si>
  <si>
    <t>Yaqui</t>
  </si>
  <si>
    <t>Kari</t>
  </si>
  <si>
    <t>Pablo</t>
  </si>
  <si>
    <t>Eva</t>
  </si>
  <si>
    <t>Octavio</t>
  </si>
  <si>
    <t>Cristian</t>
  </si>
  <si>
    <t>PECHUGA DE POLLO</t>
  </si>
  <si>
    <t>MINI CUBANA</t>
  </si>
  <si>
    <t>LAS DE LOS CONOCEDORES</t>
  </si>
  <si>
    <t>CHILAQUILES VERDES O ROJOS</t>
  </si>
  <si>
    <t>SENCILLOS</t>
  </si>
  <si>
    <t>CON HUEVO</t>
  </si>
  <si>
    <t>MIXTOS</t>
  </si>
  <si>
    <t>DOBLE CARNE</t>
  </si>
  <si>
    <t>TORTAS CLASICAS</t>
  </si>
  <si>
    <t>CARNE DE RES O 
MILANESA O POLLO</t>
  </si>
  <si>
    <t>ORDENES DE 
PAPAS</t>
  </si>
  <si>
    <t>MILANESA/PIERNA/SALAMI/
MORTADELA/JAMON/SALCHICHA/
Q. AMARILLO/Q. MANCHEGO</t>
  </si>
  <si>
    <r>
      <t xml:space="preserve">LA CUBANA
</t>
    </r>
    <r>
      <rPr>
        <sz val="5"/>
        <color theme="0"/>
        <rFont val="Calibri"/>
        <family val="2"/>
        <scheme val="minor"/>
      </rPr>
      <t>1 KG DE SABOR</t>
    </r>
  </si>
  <si>
    <r>
      <t xml:space="preserve">MILANESA/PIERNA/SALAMI/MORTADELA/JAMON/SALCHICHA/Q. AMARILLO/Q. MANCHEGO)
</t>
    </r>
    <r>
      <rPr>
        <sz val="6"/>
        <color theme="0"/>
        <rFont val="Calibri"/>
        <family val="2"/>
        <scheme val="minor"/>
      </rPr>
      <t>(Jitomate/Ceboolla/Chile/Aguacate/Crema/Mayonesa)</t>
    </r>
  </si>
  <si>
    <t>QUESO RANCHERO, QUESO PANELA,
QUESO DE PUERCO, SALCHICHA, JAMON,
SALAMI, MORTADELA, HUEVO</t>
  </si>
  <si>
    <t>LAS CONCENTIDAS</t>
  </si>
  <si>
    <t>ALAMBRE</t>
  </si>
  <si>
    <t>HAWAIANA</t>
  </si>
  <si>
    <t>CHAMPIÑONES</t>
  </si>
  <si>
    <t>CHORIZO</t>
  </si>
  <si>
    <t>P. ESPAÑOLA</t>
  </si>
  <si>
    <t>DESHEBRADA</t>
  </si>
  <si>
    <t>CHULETA</t>
  </si>
  <si>
    <t>MILANESA</t>
  </si>
  <si>
    <t>LOMO</t>
  </si>
  <si>
    <t>BISTEC DE RES</t>
  </si>
  <si>
    <t>OTROS</t>
  </si>
  <si>
    <t>ENSALADA MIXTA</t>
  </si>
  <si>
    <t>SINCRONIZADO</t>
  </si>
  <si>
    <t>SANDWICH</t>
  </si>
  <si>
    <t>HAMBURGUESA</t>
  </si>
  <si>
    <t>HAMBURGESA 
ESPECIAL</t>
  </si>
  <si>
    <t>HAMBURGESA 
CON PAPAS</t>
  </si>
  <si>
    <t>ENSALADA DE 
POLLO O RES</t>
  </si>
  <si>
    <t>HUEVOS AL GUSTO</t>
  </si>
  <si>
    <t>HOT DOG SENCILLO</t>
  </si>
  <si>
    <t>HOT DOG CON TOCINO</t>
  </si>
  <si>
    <t>REFRESCO</t>
  </si>
  <si>
    <t>AGUA 1 LT</t>
  </si>
  <si>
    <t>AGUA 1/3 LT</t>
  </si>
  <si>
    <t>Sub Total</t>
  </si>
  <si>
    <t>Transporte</t>
  </si>
  <si>
    <t>DESCRIPCIÓN 
DE ENVIO</t>
  </si>
  <si>
    <t>YA PAGO? 
(SI/NO)</t>
  </si>
  <si>
    <t>NO</t>
  </si>
  <si>
    <t>SUMA DE 
COMIDA</t>
  </si>
  <si>
    <t>TORTAS ORLANZINI</t>
  </si>
  <si>
    <t xml:space="preserve">Taco </t>
  </si>
  <si>
    <t>Taco Harina</t>
  </si>
  <si>
    <t>Quesadilla Harina</t>
  </si>
  <si>
    <t>Quesadilla Maíz</t>
  </si>
  <si>
    <t>Quesadilla Harina Sola</t>
  </si>
  <si>
    <t>Quesadilla Maíz sola</t>
  </si>
  <si>
    <t>Volcán</t>
  </si>
  <si>
    <t>Tostada</t>
  </si>
  <si>
    <t>Torta sencilla</t>
  </si>
  <si>
    <t>Torta c/ queso</t>
  </si>
  <si>
    <t>Orden de Cebollin</t>
  </si>
  <si>
    <t>SUMA DE COMIDA</t>
  </si>
  <si>
    <t>TACOS EL CEJAS</t>
  </si>
  <si>
    <t>DESCRIPCIÓN DE ENVIO</t>
  </si>
  <si>
    <t>TACOS</t>
  </si>
  <si>
    <t>CABEZA</t>
  </si>
  <si>
    <t>COSTILLA</t>
  </si>
  <si>
    <t>BISTEC ADOBADO</t>
  </si>
  <si>
    <t>BISTEC NATURAL</t>
  </si>
  <si>
    <t>CAMPECHANO</t>
  </si>
  <si>
    <t>GRINGAS</t>
  </si>
  <si>
    <t>TORTAS</t>
  </si>
  <si>
    <t>SIN QUESO</t>
  </si>
  <si>
    <t>CON QUESO</t>
  </si>
  <si>
    <t>Pago</t>
  </si>
  <si>
    <t>Cambio 
o 
aun debe</t>
  </si>
  <si>
    <t>TACOS EL CHANGO</t>
  </si>
  <si>
    <t>PAGO</t>
  </si>
  <si>
    <t>Se modifica</t>
  </si>
  <si>
    <t>abc</t>
  </si>
  <si>
    <t>REFESCO</t>
  </si>
  <si>
    <t>JUGO</t>
  </si>
  <si>
    <t>CAFÉ</t>
  </si>
  <si>
    <t>SABROSI</t>
  </si>
  <si>
    <t>TORTAS NUESTRAS ESPECIALIDADES</t>
  </si>
  <si>
    <t>PLAN DE SAN LUIS</t>
  </si>
  <si>
    <t>CHARRA</t>
  </si>
  <si>
    <t>BICENTENARIO</t>
  </si>
  <si>
    <t>CELAYITA</t>
  </si>
  <si>
    <t>CHICHEN ITZA</t>
  </si>
  <si>
    <t>PACHO VILLA</t>
  </si>
  <si>
    <t>ADELITA</t>
  </si>
  <si>
    <t>MAYA</t>
  </si>
  <si>
    <t>REVOLUCIONARIA</t>
  </si>
  <si>
    <t>MADERO</t>
  </si>
  <si>
    <t>ZAPATA</t>
  </si>
  <si>
    <t>Angeles</t>
  </si>
  <si>
    <t>Migue</t>
  </si>
  <si>
    <t>Isra</t>
  </si>
  <si>
    <t>SI</t>
  </si>
  <si>
    <t>CLAUDILLA</t>
  </si>
  <si>
    <t>PAPAS</t>
  </si>
  <si>
    <t>LENGUA</t>
  </si>
  <si>
    <t>MACIZA</t>
  </si>
  <si>
    <t>BISTEC</t>
  </si>
  <si>
    <t>HIGADO</t>
  </si>
  <si>
    <t>TRIPA</t>
  </si>
  <si>
    <t>MONTALAYO</t>
  </si>
  <si>
    <t>BUCHE</t>
  </si>
  <si>
    <t>Luciano</t>
  </si>
  <si>
    <t>TACOS D'LEO</t>
  </si>
  <si>
    <t>Diego</t>
  </si>
  <si>
    <t>LES CALLERON LA MAÑA :(</t>
  </si>
  <si>
    <t>QUESADILLAS</t>
  </si>
  <si>
    <t>RAJITAS</t>
  </si>
  <si>
    <t>COSTILLA DE RES</t>
  </si>
  <si>
    <t>POLLITO EN SALSA VERDE</t>
  </si>
  <si>
    <t>CHILE NEGRO CON CARNE DE CERDO</t>
  </si>
  <si>
    <t>GASPE</t>
  </si>
  <si>
    <t>DANIEL ZAMUIDIO PICHARDO</t>
  </si>
  <si>
    <t>CREADO POR:</t>
  </si>
  <si>
    <t>FECHA DE CREACIÓN</t>
  </si>
  <si>
    <t>SE AÑADIO TORTAS ORLANZINI</t>
  </si>
  <si>
    <t>SE AÑADIO TACOS EL CHANGO</t>
  </si>
  <si>
    <t>SE AÑADIO TACOS D'LEO</t>
  </si>
  <si>
    <t>SE AÑADIR TORTAS SABROSI</t>
  </si>
  <si>
    <t>SE AÑADIO TACOS EL CEJAS</t>
  </si>
  <si>
    <t>SE AÑADIO GASPE</t>
  </si>
  <si>
    <t>FECHA</t>
  </si>
  <si>
    <t>ACTUALIZACIÓN</t>
  </si>
  <si>
    <t>-</t>
  </si>
  <si>
    <t>Jaqui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</si>
</sst>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5"/>
      <color theme="0"/>
      <name val="Calibri"/>
      <family val="2"/>
      <scheme val="minor"/>
    </font>
    <font>
      <sz val="6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8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6">
    <xf numFmtId="0" fontId="0" fillId="0" borderId="0" xfId="0"/>
    <xf numFmtId="164" fontId="0" fillId="0" borderId="1" xfId="0" applyNumberFormat="1" applyBorder="1"/>
    <xf numFmtId="0" fontId="2" fillId="3" borderId="16" xfId="0" applyFont="1" applyFill="1" applyBorder="1"/>
    <xf numFmtId="0" fontId="2" fillId="3" borderId="17" xfId="0" applyFont="1" applyFill="1" applyBorder="1"/>
    <xf numFmtId="0" fontId="2" fillId="3" borderId="14" xfId="0" applyFont="1" applyFill="1" applyBorder="1"/>
    <xf numFmtId="164" fontId="2" fillId="3" borderId="15" xfId="0" applyNumberFormat="1" applyFont="1" applyFill="1" applyBorder="1"/>
    <xf numFmtId="164" fontId="2" fillId="3" borderId="0" xfId="0" applyNumberFormat="1" applyFont="1" applyFill="1"/>
    <xf numFmtId="0" fontId="3" fillId="4" borderId="16" xfId="0" applyFont="1" applyFill="1" applyBorder="1" applyAlignment="1">
      <alignment vertical="center"/>
    </xf>
    <xf numFmtId="0" fontId="3" fillId="4" borderId="21" xfId="0" applyFont="1" applyFill="1" applyBorder="1" applyAlignment="1">
      <alignment vertical="center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 textRotation="90"/>
    </xf>
    <xf numFmtId="0" fontId="6" fillId="4" borderId="24" xfId="0" applyFont="1" applyFill="1" applyBorder="1" applyAlignment="1">
      <alignment horizontal="center" vertical="center" textRotation="90" wrapText="1"/>
    </xf>
    <xf numFmtId="0" fontId="6" fillId="4" borderId="20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textRotation="90"/>
    </xf>
    <xf numFmtId="0" fontId="6" fillId="4" borderId="2" xfId="0" applyFont="1" applyFill="1" applyBorder="1" applyAlignment="1">
      <alignment horizontal="center" vertical="center" textRotation="90"/>
    </xf>
    <xf numFmtId="0" fontId="6" fillId="4" borderId="2" xfId="0" applyFont="1" applyFill="1" applyBorder="1" applyAlignment="1">
      <alignment horizontal="center" vertical="center" textRotation="90" wrapText="1"/>
    </xf>
    <xf numFmtId="0" fontId="6" fillId="4" borderId="13" xfId="0" applyFont="1" applyFill="1" applyBorder="1" applyAlignment="1">
      <alignment horizontal="center" vertical="center" textRotation="90" wrapText="1"/>
    </xf>
    <xf numFmtId="0" fontId="6" fillId="4" borderId="4" xfId="0" applyFont="1" applyFill="1" applyBorder="1" applyAlignment="1">
      <alignment horizontal="center" vertical="center" textRotation="90"/>
    </xf>
    <xf numFmtId="0" fontId="6" fillId="4" borderId="20" xfId="0" applyFont="1" applyFill="1" applyBorder="1" applyAlignment="1">
      <alignment horizontal="center" vertical="center" textRotation="90"/>
    </xf>
    <xf numFmtId="0" fontId="6" fillId="4" borderId="12" xfId="0" applyFont="1" applyFill="1" applyBorder="1" applyAlignment="1">
      <alignment horizontal="center" vertical="center" textRotation="90" wrapText="1"/>
    </xf>
    <xf numFmtId="0" fontId="6" fillId="4" borderId="4" xfId="0" applyFont="1" applyFill="1" applyBorder="1" applyAlignment="1">
      <alignment horizontal="center" vertical="center" textRotation="90" wrapText="1"/>
    </xf>
    <xf numFmtId="0" fontId="6" fillId="4" borderId="3" xfId="0" applyFont="1" applyFill="1" applyBorder="1" applyAlignment="1">
      <alignment horizontal="center" vertical="center" textRotation="90" wrapText="1"/>
    </xf>
    <xf numFmtId="0" fontId="6" fillId="4" borderId="23" xfId="0" applyFont="1" applyFill="1" applyBorder="1" applyAlignment="1">
      <alignment horizontal="center" vertical="center" textRotation="90" wrapText="1"/>
    </xf>
    <xf numFmtId="0" fontId="6" fillId="4" borderId="1" xfId="0" applyFont="1" applyFill="1" applyBorder="1" applyAlignment="1">
      <alignment horizontal="center" vertical="center" textRotation="90" wrapText="1"/>
    </xf>
    <xf numFmtId="0" fontId="6" fillId="4" borderId="6" xfId="0" applyFont="1" applyFill="1" applyBorder="1" applyAlignment="1">
      <alignment horizontal="center" vertical="center" textRotation="90" wrapText="1"/>
    </xf>
    <xf numFmtId="0" fontId="0" fillId="5" borderId="2" xfId="0" applyFill="1" applyBorder="1"/>
    <xf numFmtId="0" fontId="0" fillId="5" borderId="1" xfId="0" applyFill="1" applyBorder="1"/>
    <xf numFmtId="0" fontId="4" fillId="4" borderId="0" xfId="0" applyFont="1" applyFill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0" fontId="2" fillId="3" borderId="37" xfId="0" applyFont="1" applyFill="1" applyBorder="1"/>
    <xf numFmtId="164" fontId="2" fillId="3" borderId="38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/>
    <xf numFmtId="164" fontId="0" fillId="0" borderId="2" xfId="0" applyNumberFormat="1" applyBorder="1"/>
    <xf numFmtId="0" fontId="9" fillId="2" borderId="2" xfId="0" applyFont="1" applyFill="1" applyBorder="1" applyAlignment="1" applyProtection="1">
      <alignment horizontal="center" vertical="center"/>
      <protection locked="0"/>
    </xf>
    <xf numFmtId="164" fontId="2" fillId="6" borderId="36" xfId="1" applyNumberFormat="1" applyFont="1" applyFill="1" applyBorder="1" applyProtection="1">
      <protection locked="0"/>
    </xf>
    <xf numFmtId="0" fontId="2" fillId="4" borderId="2" xfId="0" applyFont="1" applyFill="1" applyBorder="1" applyAlignment="1">
      <alignment horizontal="center" vertical="center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horizontal="center" vertical="center"/>
      <protection locked="0"/>
    </xf>
    <xf numFmtId="0" fontId="11" fillId="0" borderId="0" xfId="0" applyFont="1"/>
    <xf numFmtId="0" fontId="4" fillId="4" borderId="39" xfId="0" applyFont="1" applyFill="1" applyBorder="1" applyAlignment="1">
      <alignment vertical="center"/>
    </xf>
    <xf numFmtId="0" fontId="3" fillId="4" borderId="40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vertical="center"/>
    </xf>
    <xf numFmtId="0" fontId="6" fillId="4" borderId="37" xfId="0" applyFont="1" applyFill="1" applyBorder="1" applyAlignment="1">
      <alignment horizontal="center" vertical="center" textRotation="90" wrapText="1"/>
    </xf>
    <xf numFmtId="0" fontId="2" fillId="3" borderId="16" xfId="0" applyFont="1" applyFill="1" applyBorder="1" applyAlignment="1">
      <alignment horizontal="center" vertical="center" wrapText="1"/>
    </xf>
    <xf numFmtId="164" fontId="2" fillId="4" borderId="14" xfId="0" applyNumberFormat="1" applyFont="1" applyFill="1" applyBorder="1" applyAlignment="1" applyProtection="1">
      <alignment horizontal="center" vertical="center"/>
      <protection locked="0"/>
    </xf>
    <xf numFmtId="164" fontId="2" fillId="4" borderId="45" xfId="0" applyNumberFormat="1" applyFont="1" applyFill="1" applyBorder="1" applyAlignment="1" applyProtection="1">
      <alignment horizontal="center" vertical="center"/>
      <protection locked="0"/>
    </xf>
    <xf numFmtId="164" fontId="2" fillId="4" borderId="15" xfId="0" applyNumberFormat="1" applyFont="1" applyFill="1" applyBorder="1" applyAlignment="1" applyProtection="1">
      <alignment horizontal="center" vertical="center"/>
      <protection locked="0"/>
    </xf>
    <xf numFmtId="164" fontId="2" fillId="4" borderId="49" xfId="0" applyNumberFormat="1" applyFont="1" applyFill="1" applyBorder="1" applyAlignment="1" applyProtection="1">
      <alignment horizontal="center" vertical="center"/>
      <protection locked="0"/>
    </xf>
    <xf numFmtId="164" fontId="2" fillId="4" borderId="50" xfId="0" applyNumberFormat="1" applyFont="1" applyFill="1" applyBorder="1" applyAlignment="1" applyProtection="1">
      <alignment horizontal="center" vertical="center"/>
      <protection locked="0"/>
    </xf>
    <xf numFmtId="164" fontId="2" fillId="4" borderId="51" xfId="0" applyNumberFormat="1" applyFont="1" applyFill="1" applyBorder="1" applyAlignment="1" applyProtection="1">
      <alignment horizontal="center" vertical="center"/>
      <protection locked="0"/>
    </xf>
    <xf numFmtId="164" fontId="2" fillId="4" borderId="52" xfId="0" applyNumberFormat="1" applyFont="1" applyFill="1" applyBorder="1" applyAlignment="1" applyProtection="1">
      <alignment horizontal="center" vertical="center"/>
      <protection locked="0"/>
    </xf>
    <xf numFmtId="164" fontId="2" fillId="4" borderId="53" xfId="0" applyNumberFormat="1" applyFont="1" applyFill="1" applyBorder="1" applyAlignment="1" applyProtection="1">
      <alignment horizontal="center" vertical="center"/>
      <protection locked="0"/>
    </xf>
    <xf numFmtId="164" fontId="2" fillId="4" borderId="22" xfId="0" applyNumberFormat="1" applyFont="1" applyFill="1" applyBorder="1" applyAlignment="1" applyProtection="1">
      <alignment horizontal="center" vertical="center"/>
      <protection locked="0"/>
    </xf>
    <xf numFmtId="164" fontId="2" fillId="6" borderId="24" xfId="1" applyNumberFormat="1" applyFont="1" applyFill="1" applyBorder="1" applyProtection="1">
      <protection locked="0"/>
    </xf>
    <xf numFmtId="0" fontId="2" fillId="3" borderId="16" xfId="0" applyFont="1" applyFill="1" applyBorder="1" applyAlignment="1">
      <alignment vertical="center"/>
    </xf>
    <xf numFmtId="0" fontId="2" fillId="3" borderId="2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164" fontId="2" fillId="3" borderId="17" xfId="0" applyNumberFormat="1" applyFont="1" applyFill="1" applyBorder="1" applyAlignment="1">
      <alignment horizontal="right" vertical="center"/>
    </xf>
    <xf numFmtId="164" fontId="2" fillId="3" borderId="15" xfId="0" applyNumberFormat="1" applyFont="1" applyFill="1" applyBorder="1" applyAlignment="1">
      <alignment horizontal="right" vertical="center"/>
    </xf>
    <xf numFmtId="0" fontId="6" fillId="4" borderId="1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vertical="center"/>
    </xf>
    <xf numFmtId="0" fontId="6" fillId="4" borderId="55" xfId="0" applyFont="1" applyFill="1" applyBorder="1" applyAlignment="1">
      <alignment horizontal="center" vertical="center" textRotation="90" wrapText="1"/>
    </xf>
    <xf numFmtId="0" fontId="5" fillId="4" borderId="7" xfId="0" applyFont="1" applyFill="1" applyBorder="1" applyAlignment="1">
      <alignment vertical="center"/>
    </xf>
    <xf numFmtId="0" fontId="6" fillId="4" borderId="56" xfId="0" applyFont="1" applyFill="1" applyBorder="1" applyAlignment="1">
      <alignment horizontal="center" vertical="center" textRotation="90" wrapText="1"/>
    </xf>
    <xf numFmtId="0" fontId="12" fillId="2" borderId="2" xfId="0" applyFont="1" applyFill="1" applyBorder="1" applyAlignment="1" applyProtection="1">
      <alignment horizontal="center" vertical="center"/>
      <protection locked="0"/>
    </xf>
    <xf numFmtId="0" fontId="3" fillId="4" borderId="18" xfId="0" applyFont="1" applyFill="1" applyBorder="1" applyAlignment="1">
      <alignment vertical="center"/>
    </xf>
    <xf numFmtId="0" fontId="6" fillId="4" borderId="58" xfId="0" applyFont="1" applyFill="1" applyBorder="1" applyAlignment="1">
      <alignment horizontal="center" vertical="center" textRotation="90" wrapText="1"/>
    </xf>
    <xf numFmtId="0" fontId="4" fillId="4" borderId="29" xfId="0" applyFont="1" applyFill="1" applyBorder="1" applyAlignment="1">
      <alignment vertical="center"/>
    </xf>
    <xf numFmtId="0" fontId="4" fillId="4" borderId="47" xfId="0" applyFont="1" applyFill="1" applyBorder="1" applyAlignment="1">
      <alignment vertical="center"/>
    </xf>
    <xf numFmtId="0" fontId="4" fillId="4" borderId="33" xfId="0" applyFont="1" applyFill="1" applyBorder="1" applyAlignment="1">
      <alignment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 textRotation="90" wrapText="1"/>
    </xf>
    <xf numFmtId="0" fontId="2" fillId="4" borderId="26" xfId="0" applyFont="1" applyFill="1" applyBorder="1" applyAlignment="1">
      <alignment horizontal="center" vertical="center" textRotation="90"/>
    </xf>
    <xf numFmtId="0" fontId="2" fillId="4" borderId="43" xfId="0" applyFont="1" applyFill="1" applyBorder="1" applyAlignment="1">
      <alignment horizontal="center" vertical="center" textRotation="90"/>
    </xf>
    <xf numFmtId="0" fontId="2" fillId="4" borderId="19" xfId="0" applyFont="1" applyFill="1" applyBorder="1" applyAlignment="1">
      <alignment horizontal="center" vertical="center" textRotation="90"/>
    </xf>
    <xf numFmtId="0" fontId="4" fillId="4" borderId="0" xfId="0" applyFont="1" applyFill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 wrapText="1"/>
    </xf>
    <xf numFmtId="0" fontId="2" fillId="4" borderId="30" xfId="0" applyFont="1" applyFill="1" applyBorder="1" applyAlignment="1">
      <alignment horizontal="center" vertical="center" wrapText="1"/>
    </xf>
    <xf numFmtId="0" fontId="2" fillId="4" borderId="31" xfId="0" applyFont="1" applyFill="1" applyBorder="1" applyAlignment="1">
      <alignment horizontal="center" vertical="center" wrapText="1"/>
    </xf>
    <xf numFmtId="0" fontId="2" fillId="4" borderId="32" xfId="0" applyFont="1" applyFill="1" applyBorder="1" applyAlignment="1">
      <alignment horizontal="center" vertical="center" wrapText="1"/>
    </xf>
    <xf numFmtId="0" fontId="2" fillId="4" borderId="33" xfId="0" applyFont="1" applyFill="1" applyBorder="1" applyAlignment="1">
      <alignment horizontal="center" vertical="center" wrapText="1"/>
    </xf>
    <xf numFmtId="0" fontId="2" fillId="4" borderId="3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center" vertical="center"/>
    </xf>
    <xf numFmtId="0" fontId="2" fillId="4" borderId="39" xfId="0" applyFont="1" applyFill="1" applyBorder="1" applyAlignment="1">
      <alignment horizontal="center" vertical="center"/>
    </xf>
    <xf numFmtId="0" fontId="2" fillId="4" borderId="35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46" xfId="0" applyFont="1" applyFill="1" applyBorder="1" applyAlignment="1">
      <alignment horizontal="center" vertical="center"/>
    </xf>
    <xf numFmtId="0" fontId="5" fillId="4" borderId="47" xfId="0" applyFont="1" applyFill="1" applyBorder="1" applyAlignment="1">
      <alignment horizontal="center" vertical="center" textRotation="90" wrapText="1"/>
    </xf>
    <xf numFmtId="0" fontId="5" fillId="4" borderId="0" xfId="0" applyFont="1" applyFill="1" applyAlignment="1">
      <alignment horizontal="center" vertical="center" textRotation="90"/>
    </xf>
    <xf numFmtId="0" fontId="5" fillId="4" borderId="27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2" fillId="4" borderId="44" xfId="0" applyFont="1" applyFill="1" applyBorder="1" applyAlignment="1">
      <alignment horizontal="center" vertical="center"/>
    </xf>
    <xf numFmtId="0" fontId="2" fillId="4" borderId="48" xfId="0" applyFont="1" applyFill="1" applyBorder="1" applyAlignment="1">
      <alignment horizontal="center" vertical="center"/>
    </xf>
    <xf numFmtId="0" fontId="2" fillId="4" borderId="44" xfId="0" applyFont="1" applyFill="1" applyBorder="1" applyAlignment="1">
      <alignment horizontal="center" vertical="center" textRotation="90" wrapText="1"/>
    </xf>
    <xf numFmtId="0" fontId="2" fillId="4" borderId="48" xfId="0" applyFont="1" applyFill="1" applyBorder="1" applyAlignment="1">
      <alignment horizontal="center" vertical="center" textRotation="90"/>
    </xf>
    <xf numFmtId="0" fontId="2" fillId="4" borderId="58" xfId="0" applyFont="1" applyFill="1" applyBorder="1" applyAlignment="1">
      <alignment horizontal="center" vertical="center"/>
    </xf>
    <xf numFmtId="0" fontId="2" fillId="4" borderId="52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textRotation="90"/>
    </xf>
    <xf numFmtId="0" fontId="6" fillId="4" borderId="1" xfId="0" applyFont="1" applyFill="1" applyBorder="1" applyAlignment="1">
      <alignment horizontal="center" vertical="center" textRotation="90" wrapText="1"/>
    </xf>
    <xf numFmtId="0" fontId="6" fillId="4" borderId="6" xfId="0" applyFont="1" applyFill="1" applyBorder="1" applyAlignment="1">
      <alignment horizontal="center" vertical="center" textRotation="90" wrapText="1"/>
    </xf>
    <xf numFmtId="0" fontId="5" fillId="4" borderId="47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47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 textRotation="90" wrapText="1"/>
    </xf>
    <xf numFmtId="0" fontId="2" fillId="4" borderId="24" xfId="0" applyFont="1" applyFill="1" applyBorder="1" applyAlignment="1">
      <alignment horizontal="center" vertical="center" textRotation="90" wrapText="1"/>
    </xf>
    <xf numFmtId="0" fontId="2" fillId="4" borderId="15" xfId="0" applyFont="1" applyFill="1" applyBorder="1" applyAlignment="1">
      <alignment horizontal="center" vertical="center" textRotation="90"/>
    </xf>
    <xf numFmtId="0" fontId="5" fillId="4" borderId="54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 textRotation="90" wrapText="1"/>
    </xf>
    <xf numFmtId="0" fontId="5" fillId="4" borderId="23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4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9" xfId="0" applyFont="1" applyFill="1" applyBorder="1" applyAlignment="1">
      <alignment horizontal="center" vertical="center" wrapText="1"/>
    </xf>
    <xf numFmtId="0" fontId="2" fillId="4" borderId="41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15" fillId="4" borderId="23" xfId="0" applyFont="1" applyFill="1" applyBorder="1" applyAlignment="1">
      <alignment horizontal="center" vertical="center" textRotation="90" wrapText="1"/>
    </xf>
    <xf numFmtId="0" fontId="15" fillId="4" borderId="1" xfId="0" applyFont="1" applyFill="1" applyBorder="1" applyAlignment="1">
      <alignment horizontal="center" vertical="center" textRotation="90"/>
    </xf>
    <xf numFmtId="0" fontId="15" fillId="4" borderId="1" xfId="0" applyFont="1" applyFill="1" applyBorder="1" applyAlignment="1">
      <alignment horizontal="center" vertical="center" textRotation="90" wrapText="1"/>
    </xf>
    <xf numFmtId="0" fontId="15" fillId="4" borderId="24" xfId="0" applyFont="1" applyFill="1" applyBorder="1" applyAlignment="1">
      <alignment horizontal="center" vertical="center" textRotation="90" wrapText="1"/>
    </xf>
    <xf numFmtId="0" fontId="2" fillId="4" borderId="16" xfId="0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15" fillId="4" borderId="58" xfId="0" applyFont="1" applyFill="1" applyBorder="1" applyAlignment="1">
      <alignment horizontal="center" vertical="center" textRotation="90" wrapText="1"/>
    </xf>
    <xf numFmtId="0" fontId="13" fillId="2" borderId="0" xfId="0" applyFont="1" applyFill="1" applyAlignment="1">
      <alignment horizontal="center" vertical="center"/>
    </xf>
    <xf numFmtId="164" fontId="0" fillId="0" borderId="16" xfId="0" applyNumberFormat="1" applyBorder="1"/>
    <xf numFmtId="164" fontId="11" fillId="0" borderId="54" xfId="0" applyNumberFormat="1" applyFont="1" applyBorder="1"/>
    <xf numFmtId="164" fontId="0" fillId="0" borderId="17" xfId="0" applyNumberFormat="1" applyBorder="1"/>
    <xf numFmtId="164" fontId="0" fillId="0" borderId="12" xfId="0" applyNumberFormat="1" applyBorder="1"/>
    <xf numFmtId="164" fontId="0" fillId="0" borderId="19" xfId="0" applyNumberFormat="1" applyBorder="1"/>
    <xf numFmtId="164" fontId="0" fillId="0" borderId="46" xfId="0" applyNumberFormat="1" applyBorder="1"/>
    <xf numFmtId="164" fontId="0" fillId="0" borderId="23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26" xfId="0" applyNumberFormat="1" applyBorder="1"/>
    <xf numFmtId="0" fontId="0" fillId="0" borderId="16" xfId="0" applyBorder="1"/>
    <xf numFmtId="0" fontId="0" fillId="0" borderId="17" xfId="0" applyBorder="1" applyProtection="1">
      <protection locked="0"/>
    </xf>
    <xf numFmtId="0" fontId="0" fillId="0" borderId="12" xfId="0" applyBorder="1"/>
    <xf numFmtId="0" fontId="0" fillId="0" borderId="24" xfId="0" applyBorder="1" applyProtection="1">
      <protection locked="0"/>
    </xf>
    <xf numFmtId="0" fontId="0" fillId="0" borderId="19" xfId="0" applyBorder="1"/>
    <xf numFmtId="0" fontId="0" fillId="0" borderId="15" xfId="0" applyBorder="1" applyProtection="1">
      <protection locked="0"/>
    </xf>
    <xf numFmtId="164" fontId="0" fillId="0" borderId="7" xfId="0" applyNumberFormat="1" applyBorder="1" applyProtection="1">
      <protection locked="0"/>
    </xf>
    <xf numFmtId="164" fontId="0" fillId="0" borderId="8" xfId="0" applyNumberFormat="1" applyBorder="1" applyProtection="1">
      <protection locked="0"/>
    </xf>
    <xf numFmtId="164" fontId="0" fillId="0" borderId="48" xfId="0" applyNumberFormat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9" fillId="2" borderId="16" xfId="0" applyFont="1" applyFill="1" applyBorder="1" applyAlignment="1" applyProtection="1">
      <alignment horizontal="center" vertical="center"/>
      <protection locked="0"/>
    </xf>
    <xf numFmtId="0" fontId="9" fillId="2" borderId="54" xfId="0" applyFont="1" applyFill="1" applyBorder="1" applyAlignment="1" applyProtection="1">
      <alignment horizontal="center" vertical="center"/>
      <protection locked="0"/>
    </xf>
    <xf numFmtId="0" fontId="9" fillId="2" borderId="17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14" xfId="0" applyFont="1" applyFill="1" applyBorder="1" applyAlignment="1" applyProtection="1">
      <alignment horizontal="center" vertical="center"/>
      <protection locked="0"/>
    </xf>
    <xf numFmtId="0" fontId="9" fillId="2" borderId="51" xfId="0" applyFont="1" applyFill="1" applyBorder="1" applyAlignment="1" applyProtection="1">
      <alignment horizontal="center" vertical="center"/>
      <protection locked="0"/>
    </xf>
    <xf numFmtId="0" fontId="9" fillId="2" borderId="15" xfId="0" applyFont="1" applyFill="1" applyBorder="1" applyAlignment="1" applyProtection="1">
      <alignment horizontal="center" vertical="center"/>
      <protection locked="0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 applyProtection="1">
      <protection locked="0"/>
    </xf>
    <xf numFmtId="0" fontId="0" fillId="5" borderId="56" xfId="0" applyFill="1" applyBorder="1" applyProtection="1">
      <protection locked="0"/>
    </xf>
    <xf numFmtId="0" fontId="0" fillId="5" borderId="50" xfId="0" applyFill="1" applyBorder="1" applyProtection="1">
      <protection locked="0"/>
    </xf>
    <xf numFmtId="0" fontId="16" fillId="4" borderId="16" xfId="0" applyFont="1" applyFill="1" applyBorder="1" applyAlignment="1">
      <alignment vertical="center"/>
    </xf>
    <xf numFmtId="0" fontId="16" fillId="4" borderId="21" xfId="0" applyFont="1" applyFill="1" applyBorder="1" applyAlignment="1">
      <alignment vertical="center"/>
    </xf>
    <xf numFmtId="0" fontId="9" fillId="2" borderId="58" xfId="0" applyFont="1" applyFill="1" applyBorder="1" applyAlignment="1" applyProtection="1">
      <alignment horizontal="center" vertical="center"/>
      <protection locked="0"/>
    </xf>
    <xf numFmtId="0" fontId="9" fillId="2" borderId="52" xfId="0" applyFont="1" applyFill="1" applyBorder="1" applyAlignment="1" applyProtection="1">
      <alignment horizontal="center" vertical="center"/>
      <protection locked="0"/>
    </xf>
    <xf numFmtId="0" fontId="5" fillId="4" borderId="59" xfId="0" applyFont="1" applyFill="1" applyBorder="1" applyAlignment="1">
      <alignment horizontal="center" vertical="center"/>
    </xf>
    <xf numFmtId="0" fontId="9" fillId="2" borderId="12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2" fillId="4" borderId="16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center" vertical="center" wrapText="1"/>
    </xf>
    <xf numFmtId="0" fontId="0" fillId="0" borderId="23" xfId="0" applyBorder="1"/>
    <xf numFmtId="0" fontId="0" fillId="0" borderId="14" xfId="0" applyBorder="1"/>
    <xf numFmtId="164" fontId="0" fillId="0" borderId="54" xfId="0" applyNumberFormat="1" applyBorder="1"/>
    <xf numFmtId="164" fontId="0" fillId="0" borderId="51" xfId="0" applyNumberFormat="1" applyBorder="1"/>
    <xf numFmtId="164" fontId="0" fillId="0" borderId="56" xfId="0" applyNumberFormat="1" applyBorder="1" applyProtection="1">
      <protection locked="0"/>
    </xf>
    <xf numFmtId="164" fontId="0" fillId="0" borderId="50" xfId="0" applyNumberFormat="1" applyBorder="1" applyProtection="1">
      <protection locked="0"/>
    </xf>
    <xf numFmtId="0" fontId="0" fillId="5" borderId="16" xfId="0" applyFill="1" applyBorder="1"/>
    <xf numFmtId="0" fontId="0" fillId="5" borderId="17" xfId="0" applyFill="1" applyBorder="1" applyProtection="1">
      <protection locked="0"/>
    </xf>
    <xf numFmtId="0" fontId="0" fillId="5" borderId="23" xfId="0" applyFill="1" applyBorder="1"/>
    <xf numFmtId="0" fontId="0" fillId="5" borderId="24" xfId="0" applyFill="1" applyBorder="1" applyProtection="1">
      <protection locked="0"/>
    </xf>
    <xf numFmtId="0" fontId="0" fillId="5" borderId="14" xfId="0" applyFill="1" applyBorder="1"/>
    <xf numFmtId="0" fontId="0" fillId="5" borderId="15" xfId="0" applyFill="1" applyBorder="1" applyProtection="1">
      <protection locked="0"/>
    </xf>
    <xf numFmtId="0" fontId="5" fillId="4" borderId="27" xfId="0" applyFont="1" applyFill="1" applyBorder="1" applyAlignment="1">
      <alignment horizontal="center" vertical="center" textRotation="90" wrapText="1"/>
    </xf>
    <xf numFmtId="164" fontId="14" fillId="0" borderId="17" xfId="0" applyNumberFormat="1" applyFont="1" applyBorder="1"/>
    <xf numFmtId="164" fontId="14" fillId="0" borderId="24" xfId="0" applyNumberFormat="1" applyFont="1" applyBorder="1"/>
    <xf numFmtId="164" fontId="14" fillId="0" borderId="15" xfId="0" applyNumberFormat="1" applyFont="1" applyBorder="1"/>
    <xf numFmtId="164" fontId="0" fillId="0" borderId="7" xfId="0" applyNumberFormat="1" applyFont="1" applyBorder="1" applyProtection="1">
      <protection locked="0"/>
    </xf>
    <xf numFmtId="164" fontId="0" fillId="0" borderId="56" xfId="0" applyNumberFormat="1" applyFont="1" applyBorder="1" applyProtection="1">
      <protection locked="0"/>
    </xf>
    <xf numFmtId="164" fontId="0" fillId="0" borderId="50" xfId="0" applyNumberFormat="1" applyFont="1" applyBorder="1" applyProtection="1">
      <protection locked="0"/>
    </xf>
    <xf numFmtId="164" fontId="11" fillId="0" borderId="8" xfId="0" applyNumberFormat="1" applyFont="1" applyBorder="1" applyProtection="1">
      <protection locked="0"/>
    </xf>
    <xf numFmtId="0" fontId="2" fillId="4" borderId="60" xfId="0" applyFont="1" applyFill="1" applyBorder="1" applyAlignment="1">
      <alignment horizontal="center" vertical="center" wrapText="1"/>
    </xf>
    <xf numFmtId="0" fontId="2" fillId="4" borderId="61" xfId="0" applyFont="1" applyFill="1" applyBorder="1" applyAlignment="1">
      <alignment horizontal="center" vertical="center" wrapText="1"/>
    </xf>
    <xf numFmtId="0" fontId="0" fillId="0" borderId="13" xfId="0" applyBorder="1" applyProtection="1">
      <protection locked="0"/>
    </xf>
    <xf numFmtId="0" fontId="0" fillId="0" borderId="26" xfId="0" applyBorder="1" applyProtection="1">
      <protection locked="0"/>
    </xf>
    <xf numFmtId="164" fontId="2" fillId="4" borderId="28" xfId="0" applyNumberFormat="1" applyFont="1" applyFill="1" applyBorder="1" applyAlignment="1" applyProtection="1">
      <alignment horizontal="center" vertical="center"/>
      <protection locked="0"/>
    </xf>
    <xf numFmtId="0" fontId="9" fillId="2" borderId="13" xfId="0" applyFont="1" applyFill="1" applyBorder="1" applyAlignment="1" applyProtection="1">
      <alignment horizontal="center" vertical="center"/>
      <protection locked="0"/>
    </xf>
    <xf numFmtId="0" fontId="9" fillId="2" borderId="19" xfId="0" applyFont="1" applyFill="1" applyBorder="1" applyAlignment="1" applyProtection="1">
      <alignment horizontal="center" vertical="center"/>
      <protection locked="0"/>
    </xf>
    <xf numFmtId="0" fontId="9" fillId="2" borderId="46" xfId="0" applyFont="1" applyFill="1" applyBorder="1" applyAlignment="1" applyProtection="1">
      <alignment horizontal="center" vertical="center"/>
      <protection locked="0"/>
    </xf>
    <xf numFmtId="0" fontId="9" fillId="2" borderId="26" xfId="0" applyFont="1" applyFill="1" applyBorder="1" applyAlignment="1" applyProtection="1">
      <alignment horizontal="center" vertical="center"/>
      <protection locked="0"/>
    </xf>
    <xf numFmtId="0" fontId="0" fillId="0" borderId="24" xfId="0" applyBorder="1"/>
    <xf numFmtId="0" fontId="0" fillId="0" borderId="15" xfId="0" applyBorder="1"/>
    <xf numFmtId="0" fontId="0" fillId="0" borderId="1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0" fillId="4" borderId="62" xfId="0" applyFill="1" applyBorder="1"/>
    <xf numFmtId="0" fontId="0" fillId="4" borderId="63" xfId="0" applyFill="1" applyBorder="1"/>
    <xf numFmtId="0" fontId="0" fillId="6" borderId="29" xfId="0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14" fillId="6" borderId="34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52">
    <dxf>
      <font>
        <color theme="0"/>
      </font>
      <fill>
        <patternFill patternType="solid">
          <fgColor auto="1"/>
          <bgColor rgb="FF00B050"/>
        </patternFill>
      </fill>
    </dxf>
    <dxf>
      <font>
        <color theme="0"/>
      </font>
      <fill>
        <patternFill patternType="solid">
          <fgColor theme="0"/>
          <bgColor rgb="FFC00000"/>
        </patternFill>
      </fill>
      <border>
        <vertical/>
        <horizontal/>
      </border>
    </dxf>
    <dxf>
      <font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auto="1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ont>
        <color theme="0"/>
      </font>
      <fill>
        <patternFill patternType="solid">
          <fgColor theme="0"/>
          <bgColor rgb="FFC00000"/>
        </patternFill>
      </fill>
      <border>
        <vertical/>
        <horizontal/>
      </border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ont>
        <color theme="0"/>
      </font>
      <fill>
        <patternFill patternType="solid">
          <fgColor theme="0"/>
          <bgColor rgb="FFC00000"/>
        </patternFill>
      </fill>
      <border>
        <vertical/>
        <horizontal/>
      </border>
    </dxf>
    <dxf>
      <font>
        <color theme="0"/>
      </font>
      <fill>
        <patternFill>
          <bgColor rgb="FF7030A0"/>
        </patternFill>
      </fill>
    </dxf>
    <dxf>
      <font>
        <color rgb="FF006100"/>
      </font>
      <fill>
        <patternFill>
          <bgColor rgb="FF00B050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auto="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rgb="FF006100"/>
      </font>
      <fill>
        <patternFill>
          <bgColor rgb="FF00B05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ont>
        <color theme="0"/>
      </font>
      <fill>
        <patternFill patternType="solid">
          <fgColor theme="0"/>
          <bgColor rgb="FFC00000"/>
        </patternFill>
      </fill>
      <border>
        <vertical/>
        <horizontal/>
      </border>
    </dxf>
    <dxf>
      <font>
        <color theme="0"/>
      </font>
      <fill>
        <patternFill>
          <bgColor rgb="FF7030A0"/>
        </patternFill>
      </fill>
    </dxf>
    <dxf>
      <font>
        <color rgb="FF006100"/>
      </font>
      <fill>
        <patternFill>
          <bgColor rgb="FF00B050"/>
        </patternFill>
      </fill>
    </dxf>
    <dxf>
      <font>
        <color auto="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ont>
        <color theme="0"/>
      </font>
      <fill>
        <patternFill patternType="solid">
          <fgColor theme="0"/>
          <bgColor rgb="FFC00000"/>
        </patternFill>
      </fill>
      <border>
        <vertical/>
        <horizontal/>
      </border>
    </dxf>
    <dxf>
      <font>
        <color theme="0"/>
      </font>
      <fill>
        <patternFill>
          <bgColor rgb="FF7030A0"/>
        </patternFill>
      </fill>
    </dxf>
    <dxf>
      <font>
        <color rgb="FF006100"/>
      </font>
      <fill>
        <patternFill>
          <bgColor rgb="FF00B050"/>
        </patternFill>
      </fill>
    </dxf>
    <dxf>
      <font>
        <color auto="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rgb="FF006100"/>
      </font>
      <fill>
        <patternFill>
          <bgColor rgb="FF00B05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ont>
        <color theme="0"/>
      </font>
      <fill>
        <patternFill patternType="solid">
          <fgColor theme="0"/>
          <bgColor rgb="FFC00000"/>
        </patternFill>
      </fill>
      <border>
        <vertical/>
        <horizontal/>
      </border>
    </dxf>
    <dxf>
      <font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006100"/>
      </font>
      <fill>
        <patternFill>
          <bgColor rgb="FF00B050"/>
        </patternFill>
      </fill>
    </dxf>
    <dxf>
      <font>
        <color auto="1"/>
      </font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28575</xdr:colOff>
          <xdr:row>10</xdr:row>
          <xdr:rowOff>171450</xdr:rowOff>
        </xdr:from>
        <xdr:to>
          <xdr:col>44</xdr:col>
          <xdr:colOff>1314450</xdr:colOff>
          <xdr:row>12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TODO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10</xdr:row>
          <xdr:rowOff>171450</xdr:rowOff>
        </xdr:from>
        <xdr:to>
          <xdr:col>20</xdr:col>
          <xdr:colOff>1314450</xdr:colOff>
          <xdr:row>12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20</xdr:col>
          <xdr:colOff>1343025</xdr:colOff>
          <xdr:row>16</xdr:row>
          <xdr:rowOff>19050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1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38100</xdr:colOff>
          <xdr:row>12</xdr:row>
          <xdr:rowOff>0</xdr:rowOff>
        </xdr:from>
        <xdr:to>
          <xdr:col>53</xdr:col>
          <xdr:colOff>1323975</xdr:colOff>
          <xdr:row>14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66675</xdr:colOff>
          <xdr:row>15</xdr:row>
          <xdr:rowOff>28575</xdr:rowOff>
        </xdr:from>
        <xdr:to>
          <xdr:col>53</xdr:col>
          <xdr:colOff>1343025</xdr:colOff>
          <xdr:row>17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28575</xdr:colOff>
          <xdr:row>10</xdr:row>
          <xdr:rowOff>171450</xdr:rowOff>
        </xdr:from>
        <xdr:to>
          <xdr:col>29</xdr:col>
          <xdr:colOff>1314450</xdr:colOff>
          <xdr:row>12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66675</xdr:colOff>
          <xdr:row>14</xdr:row>
          <xdr:rowOff>28575</xdr:rowOff>
        </xdr:from>
        <xdr:to>
          <xdr:col>29</xdr:col>
          <xdr:colOff>1343025</xdr:colOff>
          <xdr:row>16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10</xdr:row>
          <xdr:rowOff>19050</xdr:rowOff>
        </xdr:from>
        <xdr:to>
          <xdr:col>22</xdr:col>
          <xdr:colOff>1314450</xdr:colOff>
          <xdr:row>12</xdr:row>
          <xdr:rowOff>19050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4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TODO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10</xdr:row>
          <xdr:rowOff>171450</xdr:rowOff>
        </xdr:from>
        <xdr:to>
          <xdr:col>27</xdr:col>
          <xdr:colOff>1314450</xdr:colOff>
          <xdr:row>12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60A3B6FE-188C-4C9D-AC15-F440B1A8B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66675</xdr:colOff>
          <xdr:row>14</xdr:row>
          <xdr:rowOff>28575</xdr:rowOff>
        </xdr:from>
        <xdr:to>
          <xdr:col>27</xdr:col>
          <xdr:colOff>1343025</xdr:colOff>
          <xdr:row>16</xdr:row>
          <xdr:rowOff>19050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37C8E386-94FD-4372-A28B-1072BDBDB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Pedido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27236-B9CC-4506-8CAA-56AD30ECF265}">
  <sheetPr codeName="Hoja1">
    <tabColor rgb="FF00B050"/>
  </sheetPr>
  <dimension ref="A1:AU30"/>
  <sheetViews>
    <sheetView showGridLines="0" zoomScaleNormal="100" workbookViewId="0">
      <pane xSplit="2" topLeftCell="P1" activePane="topRight" state="frozen"/>
      <selection pane="topRight" activeCell="U14" sqref="U14"/>
    </sheetView>
  </sheetViews>
  <sheetFormatPr baseColWidth="10" defaultRowHeight="15" x14ac:dyDescent="0.25"/>
  <cols>
    <col min="1" max="1" width="4" bestFit="1" customWidth="1"/>
    <col min="2" max="2" width="18.5703125" customWidth="1"/>
    <col min="3" max="3" width="11.7109375" customWidth="1"/>
    <col min="4" max="4" width="11" customWidth="1"/>
    <col min="5" max="5" width="20.7109375" bestFit="1" customWidth="1"/>
    <col min="6" max="6" width="28.28515625" bestFit="1" customWidth="1"/>
    <col min="7" max="9" width="6.5703125" bestFit="1" customWidth="1"/>
    <col min="10" max="11" width="7.5703125" bestFit="1" customWidth="1"/>
    <col min="12" max="12" width="6.5703125" bestFit="1" customWidth="1"/>
    <col min="13" max="13" width="24.85546875" bestFit="1" customWidth="1"/>
    <col min="14" max="23" width="6.5703125" bestFit="1" customWidth="1"/>
    <col min="24" max="24" width="7.5703125" bestFit="1" customWidth="1"/>
    <col min="25" max="29" width="6.5703125" bestFit="1" customWidth="1"/>
    <col min="30" max="35" width="6.5703125" customWidth="1"/>
    <col min="36" max="36" width="9" bestFit="1" customWidth="1"/>
    <col min="37" max="37" width="9.85546875" bestFit="1" customWidth="1"/>
    <col min="38" max="38" width="9" bestFit="1" customWidth="1"/>
    <col min="39" max="39" width="9" customWidth="1"/>
    <col min="40" max="40" width="9.85546875" bestFit="1" customWidth="1"/>
    <col min="41" max="41" width="9" customWidth="1"/>
    <col min="42" max="42" width="5.7109375" customWidth="1"/>
    <col min="43" max="43" width="5.5703125" customWidth="1"/>
    <col min="44" max="44" width="5.7109375" customWidth="1"/>
    <col min="45" max="45" width="20.5703125" bestFit="1" customWidth="1"/>
  </cols>
  <sheetData>
    <row r="1" spans="1:47" ht="19.149999999999999" customHeight="1" x14ac:dyDescent="0.25">
      <c r="A1" s="29"/>
      <c r="B1" s="29"/>
      <c r="C1" s="87" t="s">
        <v>61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</row>
    <row r="2" spans="1:47" ht="18" customHeight="1" thickBot="1" x14ac:dyDescent="0.3">
      <c r="A2" s="30"/>
      <c r="B2" s="31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7"/>
      <c r="AN2" s="87"/>
      <c r="AO2" s="88"/>
      <c r="AP2" s="88"/>
      <c r="AQ2" s="88"/>
    </row>
    <row r="3" spans="1:47" ht="24" thickBot="1" x14ac:dyDescent="0.3">
      <c r="A3" s="7"/>
      <c r="B3" s="8"/>
      <c r="C3" s="80" t="s">
        <v>17</v>
      </c>
      <c r="D3" s="81"/>
      <c r="E3" s="46" t="s">
        <v>16</v>
      </c>
      <c r="F3" s="9" t="s">
        <v>27</v>
      </c>
      <c r="G3" s="80" t="s">
        <v>18</v>
      </c>
      <c r="H3" s="82"/>
      <c r="I3" s="82"/>
      <c r="J3" s="82"/>
      <c r="K3" s="82"/>
      <c r="L3" s="81"/>
      <c r="M3" s="10" t="s">
        <v>23</v>
      </c>
      <c r="N3" s="80" t="s">
        <v>30</v>
      </c>
      <c r="O3" s="82"/>
      <c r="P3" s="82"/>
      <c r="Q3" s="82"/>
      <c r="R3" s="82"/>
      <c r="S3" s="82"/>
      <c r="T3" s="82"/>
      <c r="U3" s="82"/>
      <c r="V3" s="81"/>
      <c r="W3" s="80" t="s">
        <v>41</v>
      </c>
      <c r="X3" s="82"/>
      <c r="Y3" s="82"/>
      <c r="Z3" s="82"/>
      <c r="AA3" s="82"/>
      <c r="AB3" s="82"/>
      <c r="AC3" s="82"/>
      <c r="AD3" s="80"/>
      <c r="AE3" s="82"/>
      <c r="AF3" s="82"/>
      <c r="AG3" s="82"/>
      <c r="AH3" s="82"/>
      <c r="AI3" s="82"/>
      <c r="AJ3" s="80"/>
      <c r="AK3" s="82"/>
      <c r="AL3" s="82"/>
      <c r="AM3" s="80" t="s">
        <v>89</v>
      </c>
      <c r="AN3" s="81"/>
      <c r="AO3" s="101" t="s">
        <v>57</v>
      </c>
      <c r="AP3" s="89" t="s">
        <v>58</v>
      </c>
      <c r="AQ3" s="90"/>
    </row>
    <row r="4" spans="1:47" ht="72" thickBot="1" x14ac:dyDescent="0.3">
      <c r="A4" s="76" t="s">
        <v>3</v>
      </c>
      <c r="B4" s="95" t="s">
        <v>1</v>
      </c>
      <c r="C4" s="11" t="s">
        <v>40</v>
      </c>
      <c r="D4" s="12" t="s">
        <v>15</v>
      </c>
      <c r="E4" s="13" t="s">
        <v>26</v>
      </c>
      <c r="F4" s="14" t="s">
        <v>28</v>
      </c>
      <c r="G4" s="15" t="s">
        <v>19</v>
      </c>
      <c r="H4" s="16" t="s">
        <v>20</v>
      </c>
      <c r="I4" s="17" t="s">
        <v>24</v>
      </c>
      <c r="J4" s="16" t="s">
        <v>21</v>
      </c>
      <c r="K4" s="16" t="s">
        <v>22</v>
      </c>
      <c r="L4" s="18" t="s">
        <v>25</v>
      </c>
      <c r="M4" s="14" t="s">
        <v>29</v>
      </c>
      <c r="N4" s="15" t="s">
        <v>31</v>
      </c>
      <c r="O4" s="19" t="s">
        <v>32</v>
      </c>
      <c r="P4" s="19" t="s">
        <v>33</v>
      </c>
      <c r="Q4" s="19" t="s">
        <v>34</v>
      </c>
      <c r="R4" s="19" t="s">
        <v>35</v>
      </c>
      <c r="S4" s="19" t="s">
        <v>36</v>
      </c>
      <c r="T4" s="19" t="s">
        <v>37</v>
      </c>
      <c r="U4" s="19" t="s">
        <v>38</v>
      </c>
      <c r="V4" s="20" t="s">
        <v>39</v>
      </c>
      <c r="W4" s="21" t="s">
        <v>48</v>
      </c>
      <c r="X4" s="19" t="s">
        <v>42</v>
      </c>
      <c r="Y4" s="19" t="s">
        <v>43</v>
      </c>
      <c r="Z4" s="19" t="s">
        <v>44</v>
      </c>
      <c r="AA4" s="19" t="s">
        <v>45</v>
      </c>
      <c r="AB4" s="22" t="s">
        <v>47</v>
      </c>
      <c r="AC4" s="23" t="s">
        <v>46</v>
      </c>
      <c r="AD4" s="24" t="s">
        <v>49</v>
      </c>
      <c r="AE4" s="25" t="s">
        <v>50</v>
      </c>
      <c r="AF4" s="25" t="s">
        <v>51</v>
      </c>
      <c r="AG4" s="25" t="s">
        <v>52</v>
      </c>
      <c r="AH4" s="25" t="s">
        <v>53</v>
      </c>
      <c r="AI4" s="26" t="s">
        <v>54</v>
      </c>
      <c r="AJ4" s="78" t="s">
        <v>55</v>
      </c>
      <c r="AK4" s="99" t="s">
        <v>56</v>
      </c>
      <c r="AL4" s="97" t="s">
        <v>0</v>
      </c>
      <c r="AM4" s="85" t="s">
        <v>86</v>
      </c>
      <c r="AN4" s="83" t="s">
        <v>87</v>
      </c>
      <c r="AO4" s="102"/>
      <c r="AP4" s="91"/>
      <c r="AQ4" s="92"/>
      <c r="AS4" s="49" t="s">
        <v>60</v>
      </c>
      <c r="AT4" s="33">
        <f>SUM(AJ6:AJ28)</f>
        <v>0</v>
      </c>
    </row>
    <row r="5" spans="1:47" ht="15.75" thickBot="1" x14ac:dyDescent="0.3">
      <c r="A5" s="77"/>
      <c r="B5" s="96"/>
      <c r="C5" s="50">
        <v>70</v>
      </c>
      <c r="D5" s="52">
        <v>70</v>
      </c>
      <c r="E5" s="53">
        <v>70</v>
      </c>
      <c r="F5" s="54">
        <v>120</v>
      </c>
      <c r="G5" s="50">
        <v>70</v>
      </c>
      <c r="H5" s="55">
        <v>80</v>
      </c>
      <c r="I5" s="55">
        <v>90</v>
      </c>
      <c r="J5" s="55">
        <v>100</v>
      </c>
      <c r="K5" s="55">
        <v>120</v>
      </c>
      <c r="L5" s="52">
        <v>50</v>
      </c>
      <c r="M5" s="54">
        <v>60</v>
      </c>
      <c r="N5" s="50">
        <v>60</v>
      </c>
      <c r="O5" s="56">
        <v>60</v>
      </c>
      <c r="P5" s="56">
        <v>60</v>
      </c>
      <c r="Q5" s="56">
        <v>60</v>
      </c>
      <c r="R5" s="56">
        <v>65</v>
      </c>
      <c r="S5" s="56">
        <v>60</v>
      </c>
      <c r="T5" s="56">
        <v>60</v>
      </c>
      <c r="U5" s="56">
        <v>70</v>
      </c>
      <c r="V5" s="53">
        <v>70</v>
      </c>
      <c r="W5" s="50">
        <v>90</v>
      </c>
      <c r="X5" s="56">
        <v>100</v>
      </c>
      <c r="Y5" s="56">
        <v>50</v>
      </c>
      <c r="Z5" s="56">
        <v>60</v>
      </c>
      <c r="AA5" s="56">
        <v>60</v>
      </c>
      <c r="AB5" s="56">
        <v>70</v>
      </c>
      <c r="AC5" s="57">
        <v>90</v>
      </c>
      <c r="AD5" s="50">
        <v>60</v>
      </c>
      <c r="AE5" s="55">
        <v>20</v>
      </c>
      <c r="AF5" s="55">
        <v>25</v>
      </c>
      <c r="AG5" s="55">
        <v>25</v>
      </c>
      <c r="AH5" s="55">
        <v>30</v>
      </c>
      <c r="AI5" s="58">
        <v>20</v>
      </c>
      <c r="AJ5" s="79"/>
      <c r="AK5" s="100"/>
      <c r="AL5" s="98"/>
      <c r="AM5" s="86"/>
      <c r="AN5" s="84"/>
      <c r="AO5" s="103"/>
      <c r="AP5" s="93"/>
      <c r="AQ5" s="94"/>
      <c r="AS5" s="61" t="s">
        <v>56</v>
      </c>
      <c r="AT5" s="37">
        <v>100</v>
      </c>
      <c r="AU5" t="s">
        <v>90</v>
      </c>
    </row>
    <row r="6" spans="1:47" ht="15.75" thickBot="1" x14ac:dyDescent="0.3">
      <c r="A6" s="208">
        <v>1</v>
      </c>
      <c r="B6" s="209" t="s">
        <v>2</v>
      </c>
      <c r="C6" s="176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8"/>
      <c r="AJ6" s="155">
        <f>SUMPRODUCT($C$5:$AI$5,C6:AI6)</f>
        <v>0</v>
      </c>
      <c r="AK6" s="204">
        <f>IF(COUNTIF(C6:AI6,"&gt;0")&gt;0,$AT$9,0)</f>
        <v>0</v>
      </c>
      <c r="AL6" s="215">
        <f>AJ6+AK6</f>
        <v>0</v>
      </c>
      <c r="AM6" s="155"/>
      <c r="AN6" s="157" t="str">
        <f>IF(AL6=0,"",AM6-AL6)</f>
        <v/>
      </c>
      <c r="AO6" s="171"/>
      <c r="AP6" s="165"/>
      <c r="AQ6" s="166" t="s">
        <v>59</v>
      </c>
      <c r="AS6" s="62" t="s">
        <v>0</v>
      </c>
      <c r="AT6" s="34">
        <f>SUM(AT4:AT5)</f>
        <v>100</v>
      </c>
    </row>
    <row r="7" spans="1:47" ht="15.75" thickBot="1" x14ac:dyDescent="0.3">
      <c r="A7" s="210">
        <v>2</v>
      </c>
      <c r="B7" s="211" t="s">
        <v>6</v>
      </c>
      <c r="C7" s="17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180"/>
      <c r="AJ7" s="161">
        <f t="shared" ref="AJ7:AJ28" si="0">SUMPRODUCT($C$5:$AI$5,C7:AI7)</f>
        <v>0</v>
      </c>
      <c r="AK7" s="1">
        <f t="shared" ref="AK7:AK28" si="1">IF(COUNTIF(C7:AI7,"&gt;0")&gt;0,$AT$9,0)</f>
        <v>0</v>
      </c>
      <c r="AL7" s="216">
        <f>AJ7+AK7</f>
        <v>0</v>
      </c>
      <c r="AM7" s="161"/>
      <c r="AN7" s="162" t="str">
        <f t="shared" ref="AN7:AN28" si="2">IF(AL7=0,"",AM7-AL7)</f>
        <v/>
      </c>
      <c r="AO7" s="206"/>
      <c r="AP7" s="167"/>
      <c r="AQ7" s="168" t="s">
        <v>59</v>
      </c>
    </row>
    <row r="8" spans="1:47" x14ac:dyDescent="0.25">
      <c r="A8" s="210">
        <v>3</v>
      </c>
      <c r="B8" s="211" t="s">
        <v>7</v>
      </c>
      <c r="C8" s="17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180"/>
      <c r="AJ8" s="161">
        <f t="shared" si="0"/>
        <v>0</v>
      </c>
      <c r="AK8" s="1">
        <f t="shared" si="1"/>
        <v>0</v>
      </c>
      <c r="AL8" s="216">
        <f t="shared" ref="AL8:AL28" si="3">AJ8+AK8</f>
        <v>0</v>
      </c>
      <c r="AM8" s="161"/>
      <c r="AN8" s="162" t="str">
        <f t="shared" si="2"/>
        <v/>
      </c>
      <c r="AO8" s="206"/>
      <c r="AP8" s="167"/>
      <c r="AQ8" s="168" t="s">
        <v>59</v>
      </c>
      <c r="AS8" s="2" t="s">
        <v>4</v>
      </c>
      <c r="AT8" s="3">
        <f>COUNTIF(AJ6:AJ28,"&gt;0")</f>
        <v>0</v>
      </c>
    </row>
    <row r="9" spans="1:47" ht="15.75" thickBot="1" x14ac:dyDescent="0.3">
      <c r="A9" s="210">
        <v>4</v>
      </c>
      <c r="B9" s="211" t="s">
        <v>8</v>
      </c>
      <c r="C9" s="17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180"/>
      <c r="AJ9" s="161">
        <f t="shared" si="0"/>
        <v>0</v>
      </c>
      <c r="AK9" s="1">
        <f t="shared" si="1"/>
        <v>0</v>
      </c>
      <c r="AL9" s="216">
        <f t="shared" si="3"/>
        <v>0</v>
      </c>
      <c r="AM9" s="161"/>
      <c r="AN9" s="162" t="str">
        <f t="shared" si="2"/>
        <v/>
      </c>
      <c r="AO9" s="206"/>
      <c r="AP9" s="167"/>
      <c r="AQ9" s="168" t="s">
        <v>59</v>
      </c>
      <c r="AS9" s="4" t="s">
        <v>5</v>
      </c>
      <c r="AT9" s="5">
        <f>IF(AT8=0,0,AT5/AT8)</f>
        <v>0</v>
      </c>
    </row>
    <row r="10" spans="1:47" x14ac:dyDescent="0.25">
      <c r="A10" s="210">
        <v>5</v>
      </c>
      <c r="B10" s="211" t="s">
        <v>9</v>
      </c>
      <c r="C10" s="17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180"/>
      <c r="AJ10" s="161">
        <f t="shared" si="0"/>
        <v>0</v>
      </c>
      <c r="AK10" s="1">
        <f t="shared" si="1"/>
        <v>0</v>
      </c>
      <c r="AL10" s="216">
        <f t="shared" si="3"/>
        <v>0</v>
      </c>
      <c r="AM10" s="161"/>
      <c r="AN10" s="162" t="str">
        <f t="shared" si="2"/>
        <v/>
      </c>
      <c r="AO10" s="206"/>
      <c r="AP10" s="167"/>
      <c r="AQ10" s="168" t="s">
        <v>59</v>
      </c>
    </row>
    <row r="11" spans="1:47" x14ac:dyDescent="0.25">
      <c r="A11" s="210">
        <v>6</v>
      </c>
      <c r="B11" s="211" t="s">
        <v>10</v>
      </c>
      <c r="C11" s="17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180"/>
      <c r="AJ11" s="161">
        <f t="shared" si="0"/>
        <v>0</v>
      </c>
      <c r="AK11" s="1">
        <f t="shared" si="1"/>
        <v>0</v>
      </c>
      <c r="AL11" s="216">
        <f t="shared" si="3"/>
        <v>0</v>
      </c>
      <c r="AM11" s="161"/>
      <c r="AN11" s="162" t="str">
        <f t="shared" si="2"/>
        <v/>
      </c>
      <c r="AO11" s="206"/>
      <c r="AP11" s="167"/>
      <c r="AQ11" s="168" t="s">
        <v>59</v>
      </c>
    </row>
    <row r="12" spans="1:47" x14ac:dyDescent="0.25">
      <c r="A12" s="210">
        <v>7</v>
      </c>
      <c r="B12" s="211" t="s">
        <v>11</v>
      </c>
      <c r="C12" s="17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180"/>
      <c r="AJ12" s="161">
        <f t="shared" si="0"/>
        <v>0</v>
      </c>
      <c r="AK12" s="1">
        <f t="shared" si="1"/>
        <v>0</v>
      </c>
      <c r="AL12" s="216">
        <f t="shared" si="3"/>
        <v>0</v>
      </c>
      <c r="AM12" s="161"/>
      <c r="AN12" s="162" t="str">
        <f t="shared" si="2"/>
        <v/>
      </c>
      <c r="AO12" s="206"/>
      <c r="AP12" s="167"/>
      <c r="AQ12" s="168" t="s">
        <v>59</v>
      </c>
    </row>
    <row r="13" spans="1:47" x14ac:dyDescent="0.25">
      <c r="A13" s="210">
        <v>8</v>
      </c>
      <c r="B13" s="211" t="s">
        <v>12</v>
      </c>
      <c r="C13" s="17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180"/>
      <c r="AJ13" s="161">
        <f t="shared" si="0"/>
        <v>0</v>
      </c>
      <c r="AK13" s="1">
        <f t="shared" si="1"/>
        <v>0</v>
      </c>
      <c r="AL13" s="216">
        <f t="shared" si="3"/>
        <v>0</v>
      </c>
      <c r="AM13" s="161"/>
      <c r="AN13" s="162" t="str">
        <f t="shared" si="2"/>
        <v/>
      </c>
      <c r="AO13" s="206"/>
      <c r="AP13" s="167"/>
      <c r="AQ13" s="168" t="s">
        <v>59</v>
      </c>
    </row>
    <row r="14" spans="1:47" x14ac:dyDescent="0.25">
      <c r="A14" s="210">
        <v>9</v>
      </c>
      <c r="B14" s="211" t="s">
        <v>13</v>
      </c>
      <c r="C14" s="17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180"/>
      <c r="AJ14" s="161">
        <f t="shared" si="0"/>
        <v>0</v>
      </c>
      <c r="AK14" s="1">
        <f t="shared" si="1"/>
        <v>0</v>
      </c>
      <c r="AL14" s="216">
        <f t="shared" si="3"/>
        <v>0</v>
      </c>
      <c r="AM14" s="161"/>
      <c r="AN14" s="162" t="str">
        <f t="shared" si="2"/>
        <v/>
      </c>
      <c r="AO14" s="206"/>
      <c r="AP14" s="167"/>
      <c r="AQ14" s="168" t="s">
        <v>59</v>
      </c>
    </row>
    <row r="15" spans="1:47" x14ac:dyDescent="0.25">
      <c r="A15" s="210">
        <v>10</v>
      </c>
      <c r="B15" s="211" t="s">
        <v>14</v>
      </c>
      <c r="C15" s="17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180"/>
      <c r="AJ15" s="161">
        <f t="shared" si="0"/>
        <v>0</v>
      </c>
      <c r="AK15" s="1">
        <f t="shared" si="1"/>
        <v>0</v>
      </c>
      <c r="AL15" s="216">
        <f t="shared" si="3"/>
        <v>0</v>
      </c>
      <c r="AM15" s="161"/>
      <c r="AN15" s="162" t="str">
        <f t="shared" si="2"/>
        <v/>
      </c>
      <c r="AO15" s="206"/>
      <c r="AP15" s="167"/>
      <c r="AQ15" s="168" t="s">
        <v>59</v>
      </c>
      <c r="AU15" s="41"/>
    </row>
    <row r="16" spans="1:47" x14ac:dyDescent="0.25">
      <c r="A16" s="210">
        <v>11</v>
      </c>
      <c r="B16" s="211"/>
      <c r="C16" s="17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180"/>
      <c r="AJ16" s="161">
        <f t="shared" si="0"/>
        <v>0</v>
      </c>
      <c r="AK16" s="1">
        <f t="shared" si="1"/>
        <v>0</v>
      </c>
      <c r="AL16" s="216">
        <f t="shared" si="3"/>
        <v>0</v>
      </c>
      <c r="AM16" s="161"/>
      <c r="AN16" s="162" t="str">
        <f t="shared" si="2"/>
        <v/>
      </c>
      <c r="AO16" s="206"/>
      <c r="AP16" s="167"/>
      <c r="AQ16" s="168" t="s">
        <v>59</v>
      </c>
    </row>
    <row r="17" spans="1:43" x14ac:dyDescent="0.25">
      <c r="A17" s="210">
        <v>12</v>
      </c>
      <c r="B17" s="211"/>
      <c r="C17" s="17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180"/>
      <c r="AJ17" s="161">
        <f t="shared" si="0"/>
        <v>0</v>
      </c>
      <c r="AK17" s="1">
        <f t="shared" si="1"/>
        <v>0</v>
      </c>
      <c r="AL17" s="216">
        <f t="shared" si="3"/>
        <v>0</v>
      </c>
      <c r="AM17" s="161"/>
      <c r="AN17" s="162" t="str">
        <f t="shared" si="2"/>
        <v/>
      </c>
      <c r="AO17" s="206"/>
      <c r="AP17" s="167"/>
      <c r="AQ17" s="168" t="s">
        <v>59</v>
      </c>
    </row>
    <row r="18" spans="1:43" x14ac:dyDescent="0.25">
      <c r="A18" s="210">
        <v>13</v>
      </c>
      <c r="B18" s="211"/>
      <c r="C18" s="17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180"/>
      <c r="AJ18" s="161">
        <f t="shared" si="0"/>
        <v>0</v>
      </c>
      <c r="AK18" s="1">
        <f t="shared" si="1"/>
        <v>0</v>
      </c>
      <c r="AL18" s="216">
        <f t="shared" si="3"/>
        <v>0</v>
      </c>
      <c r="AM18" s="161"/>
      <c r="AN18" s="162" t="str">
        <f t="shared" si="2"/>
        <v/>
      </c>
      <c r="AO18" s="206"/>
      <c r="AP18" s="167"/>
      <c r="AQ18" s="168" t="s">
        <v>59</v>
      </c>
    </row>
    <row r="19" spans="1:43" x14ac:dyDescent="0.25">
      <c r="A19" s="210">
        <v>14</v>
      </c>
      <c r="B19" s="211"/>
      <c r="C19" s="17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180"/>
      <c r="AJ19" s="161">
        <f t="shared" si="0"/>
        <v>0</v>
      </c>
      <c r="AK19" s="1">
        <f t="shared" si="1"/>
        <v>0</v>
      </c>
      <c r="AL19" s="216">
        <f t="shared" si="3"/>
        <v>0</v>
      </c>
      <c r="AM19" s="161"/>
      <c r="AN19" s="162" t="str">
        <f t="shared" si="2"/>
        <v/>
      </c>
      <c r="AO19" s="206"/>
      <c r="AP19" s="167"/>
      <c r="AQ19" s="168" t="s">
        <v>59</v>
      </c>
    </row>
    <row r="20" spans="1:43" x14ac:dyDescent="0.25">
      <c r="A20" s="210">
        <v>15</v>
      </c>
      <c r="B20" s="211"/>
      <c r="C20" s="17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40"/>
      <c r="AF20" s="39"/>
      <c r="AG20" s="39"/>
      <c r="AH20" s="39"/>
      <c r="AI20" s="180"/>
      <c r="AJ20" s="161">
        <f t="shared" si="0"/>
        <v>0</v>
      </c>
      <c r="AK20" s="1">
        <f t="shared" si="1"/>
        <v>0</v>
      </c>
      <c r="AL20" s="216">
        <f t="shared" si="3"/>
        <v>0</v>
      </c>
      <c r="AM20" s="161"/>
      <c r="AN20" s="162" t="str">
        <f t="shared" si="2"/>
        <v/>
      </c>
      <c r="AO20" s="206"/>
      <c r="AP20" s="167"/>
      <c r="AQ20" s="168" t="s">
        <v>59</v>
      </c>
    </row>
    <row r="21" spans="1:43" x14ac:dyDescent="0.25">
      <c r="A21" s="210">
        <v>16</v>
      </c>
      <c r="B21" s="211"/>
      <c r="C21" s="17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180"/>
      <c r="AJ21" s="161">
        <f t="shared" si="0"/>
        <v>0</v>
      </c>
      <c r="AK21" s="1">
        <f t="shared" si="1"/>
        <v>0</v>
      </c>
      <c r="AL21" s="216">
        <f t="shared" si="3"/>
        <v>0</v>
      </c>
      <c r="AM21" s="161"/>
      <c r="AN21" s="162" t="str">
        <f t="shared" si="2"/>
        <v/>
      </c>
      <c r="AO21" s="206"/>
      <c r="AP21" s="167"/>
      <c r="AQ21" s="168" t="s">
        <v>59</v>
      </c>
    </row>
    <row r="22" spans="1:43" x14ac:dyDescent="0.25">
      <c r="A22" s="210">
        <v>17</v>
      </c>
      <c r="B22" s="211"/>
      <c r="C22" s="17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180"/>
      <c r="AJ22" s="161">
        <f t="shared" si="0"/>
        <v>0</v>
      </c>
      <c r="AK22" s="1">
        <f t="shared" si="1"/>
        <v>0</v>
      </c>
      <c r="AL22" s="216">
        <f t="shared" si="3"/>
        <v>0</v>
      </c>
      <c r="AM22" s="161"/>
      <c r="AN22" s="162" t="str">
        <f t="shared" si="2"/>
        <v/>
      </c>
      <c r="AO22" s="206"/>
      <c r="AP22" s="167"/>
      <c r="AQ22" s="168" t="s">
        <v>59</v>
      </c>
    </row>
    <row r="23" spans="1:43" x14ac:dyDescent="0.25">
      <c r="A23" s="210">
        <v>18</v>
      </c>
      <c r="B23" s="211"/>
      <c r="C23" s="17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180"/>
      <c r="AJ23" s="161">
        <f t="shared" si="0"/>
        <v>0</v>
      </c>
      <c r="AK23" s="1">
        <f t="shared" si="1"/>
        <v>0</v>
      </c>
      <c r="AL23" s="216">
        <f t="shared" si="3"/>
        <v>0</v>
      </c>
      <c r="AM23" s="161"/>
      <c r="AN23" s="162" t="str">
        <f t="shared" si="2"/>
        <v/>
      </c>
      <c r="AO23" s="206"/>
      <c r="AP23" s="167"/>
      <c r="AQ23" s="168" t="s">
        <v>59</v>
      </c>
    </row>
    <row r="24" spans="1:43" x14ac:dyDescent="0.25">
      <c r="A24" s="210">
        <v>19</v>
      </c>
      <c r="B24" s="211"/>
      <c r="C24" s="17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180"/>
      <c r="AJ24" s="161">
        <f t="shared" si="0"/>
        <v>0</v>
      </c>
      <c r="AK24" s="1">
        <f t="shared" si="1"/>
        <v>0</v>
      </c>
      <c r="AL24" s="216">
        <f t="shared" si="3"/>
        <v>0</v>
      </c>
      <c r="AM24" s="161"/>
      <c r="AN24" s="162" t="str">
        <f t="shared" si="2"/>
        <v/>
      </c>
      <c r="AO24" s="206"/>
      <c r="AP24" s="167"/>
      <c r="AQ24" s="168" t="s">
        <v>59</v>
      </c>
    </row>
    <row r="25" spans="1:43" x14ac:dyDescent="0.25">
      <c r="A25" s="210">
        <v>20</v>
      </c>
      <c r="B25" s="211"/>
      <c r="C25" s="17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180"/>
      <c r="AJ25" s="161">
        <f t="shared" si="0"/>
        <v>0</v>
      </c>
      <c r="AK25" s="1">
        <f t="shared" si="1"/>
        <v>0</v>
      </c>
      <c r="AL25" s="216">
        <f t="shared" si="3"/>
        <v>0</v>
      </c>
      <c r="AM25" s="161"/>
      <c r="AN25" s="162" t="str">
        <f t="shared" si="2"/>
        <v/>
      </c>
      <c r="AO25" s="206"/>
      <c r="AP25" s="167"/>
      <c r="AQ25" s="168" t="s">
        <v>59</v>
      </c>
    </row>
    <row r="26" spans="1:43" x14ac:dyDescent="0.25">
      <c r="A26" s="210">
        <v>21</v>
      </c>
      <c r="B26" s="211"/>
      <c r="C26" s="17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180"/>
      <c r="AJ26" s="161">
        <f t="shared" si="0"/>
        <v>0</v>
      </c>
      <c r="AK26" s="1">
        <f t="shared" si="1"/>
        <v>0</v>
      </c>
      <c r="AL26" s="216">
        <f t="shared" si="3"/>
        <v>0</v>
      </c>
      <c r="AM26" s="161"/>
      <c r="AN26" s="162" t="str">
        <f t="shared" si="2"/>
        <v/>
      </c>
      <c r="AO26" s="206"/>
      <c r="AP26" s="167"/>
      <c r="AQ26" s="168" t="s">
        <v>59</v>
      </c>
    </row>
    <row r="27" spans="1:43" x14ac:dyDescent="0.25">
      <c r="A27" s="210">
        <v>22</v>
      </c>
      <c r="B27" s="211"/>
      <c r="C27" s="17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180"/>
      <c r="AJ27" s="161">
        <f t="shared" si="0"/>
        <v>0</v>
      </c>
      <c r="AK27" s="1">
        <f t="shared" si="1"/>
        <v>0</v>
      </c>
      <c r="AL27" s="216">
        <f t="shared" si="3"/>
        <v>0</v>
      </c>
      <c r="AM27" s="161"/>
      <c r="AN27" s="162" t="str">
        <f t="shared" si="2"/>
        <v/>
      </c>
      <c r="AO27" s="206"/>
      <c r="AP27" s="167"/>
      <c r="AQ27" s="168" t="s">
        <v>59</v>
      </c>
    </row>
    <row r="28" spans="1:43" ht="15.75" thickBot="1" x14ac:dyDescent="0.3">
      <c r="A28" s="212">
        <v>23</v>
      </c>
      <c r="B28" s="213"/>
      <c r="C28" s="181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2"/>
      <c r="AB28" s="182"/>
      <c r="AC28" s="182"/>
      <c r="AD28" s="182"/>
      <c r="AE28" s="182"/>
      <c r="AF28" s="182"/>
      <c r="AG28" s="182"/>
      <c r="AH28" s="182"/>
      <c r="AI28" s="183"/>
      <c r="AJ28" s="163">
        <f t="shared" si="0"/>
        <v>0</v>
      </c>
      <c r="AK28" s="205">
        <f t="shared" si="1"/>
        <v>0</v>
      </c>
      <c r="AL28" s="217">
        <f t="shared" si="3"/>
        <v>0</v>
      </c>
      <c r="AM28" s="163"/>
      <c r="AN28" s="164" t="str">
        <f t="shared" si="2"/>
        <v/>
      </c>
      <c r="AO28" s="207"/>
      <c r="AP28" s="169"/>
      <c r="AQ28" s="170" t="s">
        <v>59</v>
      </c>
    </row>
    <row r="30" spans="1:43" x14ac:dyDescent="0.25">
      <c r="AL30" s="6">
        <f>SUM(AL6:AL28)</f>
        <v>0</v>
      </c>
    </row>
  </sheetData>
  <sheetProtection formatCells="0" formatColumns="0" formatRows="0" insertColumns="0" insertRows="0" insertHyperlinks="0" deleteColumns="0" deleteRows="0" sort="0"/>
  <mergeCells count="17">
    <mergeCell ref="AN4:AN5"/>
    <mergeCell ref="AM4:AM5"/>
    <mergeCell ref="C1:AQ2"/>
    <mergeCell ref="AP3:AQ5"/>
    <mergeCell ref="B4:B5"/>
    <mergeCell ref="AL4:AL5"/>
    <mergeCell ref="AK4:AK5"/>
    <mergeCell ref="AO3:AO5"/>
    <mergeCell ref="AM3:AN3"/>
    <mergeCell ref="A4:A5"/>
    <mergeCell ref="AJ4:AJ5"/>
    <mergeCell ref="C3:D3"/>
    <mergeCell ref="G3:L3"/>
    <mergeCell ref="N3:V3"/>
    <mergeCell ref="W3:AC3"/>
    <mergeCell ref="AD3:AI3"/>
    <mergeCell ref="AJ3:AL3"/>
  </mergeCells>
  <conditionalFormatting sqref="AJ7:AO28 AJ6:AM6 AO6">
    <cfRule type="cellIs" dxfId="51" priority="33" operator="greaterThan">
      <formula>0</formula>
    </cfRule>
  </conditionalFormatting>
  <conditionalFormatting sqref="C6:AI28">
    <cfRule type="expression" dxfId="46" priority="7">
      <formula>C6&gt;0</formula>
    </cfRule>
  </conditionalFormatting>
  <conditionalFormatting sqref="AN6:AN28">
    <cfRule type="cellIs" dxfId="45" priority="5" operator="lessThan">
      <formula>0</formula>
    </cfRule>
    <cfRule type="cellIs" dxfId="44" priority="6" operator="greaterThan">
      <formula>-1</formula>
    </cfRule>
  </conditionalFormatting>
  <conditionalFormatting sqref="AN6:AN28">
    <cfRule type="cellIs" priority="4" stopIfTrue="1" operator="equal">
      <formula>""</formula>
    </cfRule>
  </conditionalFormatting>
  <conditionalFormatting sqref="AP6:AP28">
    <cfRule type="expression" dxfId="43" priority="3">
      <formula>AND(AQ6="Si",AL6&lt;&gt;0)</formula>
    </cfRule>
  </conditionalFormatting>
  <conditionalFormatting sqref="AP6:AP28">
    <cfRule type="expression" dxfId="42" priority="1">
      <formula>AND(AQ6="Si",AL6&lt;&gt;0)</formula>
    </cfRule>
    <cfRule type="expression" dxfId="41" priority="2">
      <formula>AND(AQ6="No",AL6&lt;&gt;0)</formula>
    </cfRule>
  </conditionalFormatting>
  <dataValidations count="2">
    <dataValidation type="list" showDropDown="1" showInputMessage="1" showErrorMessage="1" sqref="AP6:AP28" xr:uid="{3B07ABC0-9C51-44B2-A4A2-DF7ADAF6EC03}">
      <formula1>"NO,SI"</formula1>
    </dataValidation>
    <dataValidation type="list" showInputMessage="1" showErrorMessage="1" sqref="AQ6:AQ28" xr:uid="{E1530177-1714-4477-AF3F-ACA6DACF4EFE}">
      <formula1>"NO,SI"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liminar_Todo_Tortas_ORLANZINI">
                <anchor moveWithCells="1" sizeWithCells="1">
                  <from>
                    <xdr:col>44</xdr:col>
                    <xdr:colOff>28575</xdr:colOff>
                    <xdr:row>10</xdr:row>
                    <xdr:rowOff>171450</xdr:rowOff>
                  </from>
                  <to>
                    <xdr:col>44</xdr:col>
                    <xdr:colOff>1314450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A493E-D8A8-4800-B355-1DA44EA9AAFB}">
  <sheetPr codeName="Hoja6">
    <tabColor rgb="FF00B050"/>
  </sheetPr>
  <dimension ref="A1:W30"/>
  <sheetViews>
    <sheetView showGridLines="0" zoomScaleNormal="100" workbookViewId="0">
      <pane xSplit="2" topLeftCell="C1" activePane="topRight" state="frozen"/>
      <selection pane="topRight" activeCell="I4" sqref="I4"/>
    </sheetView>
  </sheetViews>
  <sheetFormatPr baseColWidth="10" defaultRowHeight="15" x14ac:dyDescent="0.25"/>
  <cols>
    <col min="1" max="1" width="4" bestFit="1" customWidth="1"/>
    <col min="2" max="2" width="18.5703125" customWidth="1"/>
    <col min="3" max="3" width="6.5703125" bestFit="1" customWidth="1"/>
    <col min="4" max="4" width="7.5703125" bestFit="1" customWidth="1"/>
    <col min="5" max="8" width="6.5703125" bestFit="1" customWidth="1"/>
    <col min="9" max="9" width="8.140625" bestFit="1" customWidth="1"/>
    <col min="10" max="11" width="6.5703125" customWidth="1"/>
    <col min="12" max="12" width="9" bestFit="1" customWidth="1"/>
    <col min="13" max="13" width="10.5703125" bestFit="1" customWidth="1"/>
    <col min="14" max="14" width="9" bestFit="1" customWidth="1"/>
    <col min="15" max="16" width="9" customWidth="1"/>
    <col min="17" max="17" width="24.42578125" customWidth="1"/>
    <col min="18" max="18" width="5.7109375" customWidth="1"/>
    <col min="19" max="19" width="5.5703125" customWidth="1"/>
    <col min="20" max="20" width="5.7109375" customWidth="1"/>
    <col min="21" max="21" width="20.5703125" bestFit="1" customWidth="1"/>
  </cols>
  <sheetData>
    <row r="1" spans="1:23" ht="19.149999999999999" customHeight="1" x14ac:dyDescent="0.25">
      <c r="A1" s="29"/>
      <c r="B1" s="29"/>
      <c r="C1" s="87" t="s">
        <v>88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23" ht="18" customHeight="1" thickBot="1" x14ac:dyDescent="0.3">
      <c r="A2" s="30"/>
      <c r="B2" s="31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7"/>
      <c r="P2" s="87"/>
      <c r="Q2" s="88"/>
      <c r="R2" s="88"/>
      <c r="S2" s="88"/>
    </row>
    <row r="3" spans="1:23" ht="31.15" customHeight="1" thickBot="1" x14ac:dyDescent="0.3">
      <c r="A3" s="7"/>
      <c r="B3" s="8"/>
      <c r="C3" s="80" t="s">
        <v>76</v>
      </c>
      <c r="D3" s="82"/>
      <c r="E3" s="82"/>
      <c r="F3" s="82"/>
      <c r="G3" s="82"/>
      <c r="H3" s="82"/>
      <c r="I3" s="47" t="s">
        <v>82</v>
      </c>
      <c r="J3" s="80" t="s">
        <v>83</v>
      </c>
      <c r="K3" s="81"/>
      <c r="L3" s="80"/>
      <c r="M3" s="82"/>
      <c r="N3" s="82"/>
      <c r="O3" s="104" t="s">
        <v>86</v>
      </c>
      <c r="P3" s="105"/>
      <c r="Q3" s="101" t="s">
        <v>57</v>
      </c>
      <c r="R3" s="89" t="s">
        <v>58</v>
      </c>
      <c r="S3" s="90"/>
    </row>
    <row r="4" spans="1:23" ht="79.150000000000006" customHeight="1" thickBot="1" x14ac:dyDescent="0.3">
      <c r="A4" s="76" t="s">
        <v>3</v>
      </c>
      <c r="B4" s="95" t="s">
        <v>1</v>
      </c>
      <c r="C4" s="21" t="s">
        <v>77</v>
      </c>
      <c r="D4" s="19" t="s">
        <v>78</v>
      </c>
      <c r="E4" s="19" t="s">
        <v>34</v>
      </c>
      <c r="F4" s="19" t="s">
        <v>79</v>
      </c>
      <c r="G4" s="19" t="s">
        <v>80</v>
      </c>
      <c r="H4" s="22" t="s">
        <v>81</v>
      </c>
      <c r="I4" s="48"/>
      <c r="J4" s="24" t="s">
        <v>84</v>
      </c>
      <c r="K4" s="12" t="s">
        <v>85</v>
      </c>
      <c r="L4" s="78" t="s">
        <v>55</v>
      </c>
      <c r="M4" s="99" t="s">
        <v>56</v>
      </c>
      <c r="N4" s="97" t="s">
        <v>0</v>
      </c>
      <c r="O4" s="78" t="s">
        <v>86</v>
      </c>
      <c r="P4" s="127" t="s">
        <v>87</v>
      </c>
      <c r="Q4" s="126"/>
      <c r="R4" s="91"/>
      <c r="S4" s="92"/>
      <c r="U4" s="49" t="s">
        <v>60</v>
      </c>
      <c r="V4" s="33">
        <f>SUM(L6:L28)</f>
        <v>0</v>
      </c>
    </row>
    <row r="5" spans="1:23" ht="15.6" customHeight="1" thickBot="1" x14ac:dyDescent="0.3">
      <c r="A5" s="77"/>
      <c r="B5" s="96"/>
      <c r="C5" s="50">
        <v>10</v>
      </c>
      <c r="D5" s="50">
        <v>10</v>
      </c>
      <c r="E5" s="50">
        <v>10</v>
      </c>
      <c r="F5" s="50">
        <v>10</v>
      </c>
      <c r="G5" s="50">
        <v>10</v>
      </c>
      <c r="H5" s="50">
        <v>10</v>
      </c>
      <c r="I5" s="51">
        <v>30</v>
      </c>
      <c r="J5" s="50">
        <v>30</v>
      </c>
      <c r="K5" s="52">
        <v>35</v>
      </c>
      <c r="L5" s="79"/>
      <c r="M5" s="100"/>
      <c r="N5" s="98"/>
      <c r="O5" s="79"/>
      <c r="P5" s="128"/>
      <c r="Q5" s="214"/>
      <c r="R5" s="93"/>
      <c r="S5" s="94"/>
      <c r="U5" s="32" t="s">
        <v>56</v>
      </c>
      <c r="V5" s="37">
        <v>100</v>
      </c>
      <c r="W5" t="s">
        <v>90</v>
      </c>
    </row>
    <row r="6" spans="1:23" ht="15.75" thickBot="1" x14ac:dyDescent="0.3">
      <c r="A6" s="27">
        <v>1</v>
      </c>
      <c r="B6" s="174" t="s">
        <v>2</v>
      </c>
      <c r="C6" s="176"/>
      <c r="D6" s="177"/>
      <c r="E6" s="177"/>
      <c r="F6" s="177"/>
      <c r="G6" s="177"/>
      <c r="H6" s="177"/>
      <c r="I6" s="177"/>
      <c r="J6" s="177"/>
      <c r="K6" s="178"/>
      <c r="L6" s="155">
        <f t="shared" ref="L6:L28" si="0">SUMPRODUCT($C$5:$K$5,C6:K6)</f>
        <v>0</v>
      </c>
      <c r="M6" s="204">
        <f t="shared" ref="M6:M28" si="1">IF(COUNTIF(C6:K6,"&gt;0")&gt;0,$V$9,0)</f>
        <v>0</v>
      </c>
      <c r="N6" s="215">
        <f>L6+M6</f>
        <v>0</v>
      </c>
      <c r="O6" s="158"/>
      <c r="P6" s="162" t="str">
        <f>IF(N6=0,"",O6-N6)</f>
        <v/>
      </c>
      <c r="Q6" s="218"/>
      <c r="R6" s="165"/>
      <c r="S6" s="166" t="s">
        <v>59</v>
      </c>
      <c r="U6" s="4" t="s">
        <v>0</v>
      </c>
      <c r="V6" s="34">
        <f>SUM(V4:V5)</f>
        <v>100</v>
      </c>
    </row>
    <row r="7" spans="1:23" ht="15.75" thickBot="1" x14ac:dyDescent="0.3">
      <c r="A7" s="28">
        <v>2</v>
      </c>
      <c r="B7" s="175" t="s">
        <v>6</v>
      </c>
      <c r="C7" s="179"/>
      <c r="D7" s="39"/>
      <c r="E7" s="39"/>
      <c r="F7" s="39"/>
      <c r="G7" s="39"/>
      <c r="H7" s="39"/>
      <c r="I7" s="39"/>
      <c r="J7" s="39"/>
      <c r="K7" s="180"/>
      <c r="L7" s="161">
        <f t="shared" si="0"/>
        <v>0</v>
      </c>
      <c r="M7" s="1">
        <f t="shared" si="1"/>
        <v>0</v>
      </c>
      <c r="N7" s="216">
        <f>L7+M7</f>
        <v>0</v>
      </c>
      <c r="O7" s="161"/>
      <c r="P7" s="162" t="str">
        <f t="shared" ref="P7:P28" si="2">IF(N7=0,"",O7-N7)</f>
        <v/>
      </c>
      <c r="Q7" s="219"/>
      <c r="R7" s="167"/>
      <c r="S7" s="168" t="s">
        <v>59</v>
      </c>
    </row>
    <row r="8" spans="1:23" x14ac:dyDescent="0.25">
      <c r="A8" s="28">
        <v>3</v>
      </c>
      <c r="B8" s="175" t="s">
        <v>7</v>
      </c>
      <c r="C8" s="179"/>
      <c r="D8" s="39"/>
      <c r="E8" s="39"/>
      <c r="F8" s="39"/>
      <c r="G8" s="39"/>
      <c r="H8" s="39"/>
      <c r="I8" s="39"/>
      <c r="J8" s="39"/>
      <c r="K8" s="180"/>
      <c r="L8" s="161">
        <f t="shared" si="0"/>
        <v>0</v>
      </c>
      <c r="M8" s="1">
        <f t="shared" si="1"/>
        <v>0</v>
      </c>
      <c r="N8" s="216">
        <f t="shared" ref="N8:N28" si="3">L8+M8</f>
        <v>0</v>
      </c>
      <c r="O8" s="161"/>
      <c r="P8" s="162" t="str">
        <f t="shared" si="2"/>
        <v/>
      </c>
      <c r="Q8" s="219"/>
      <c r="R8" s="167"/>
      <c r="S8" s="168" t="s">
        <v>59</v>
      </c>
      <c r="U8" s="2" t="s">
        <v>4</v>
      </c>
      <c r="V8" s="3">
        <f>COUNTIF(L6:L28,"&gt;0")</f>
        <v>0</v>
      </c>
    </row>
    <row r="9" spans="1:23" ht="15.75" thickBot="1" x14ac:dyDescent="0.3">
      <c r="A9" s="28">
        <v>4</v>
      </c>
      <c r="B9" s="175" t="s">
        <v>8</v>
      </c>
      <c r="C9" s="179"/>
      <c r="D9" s="39"/>
      <c r="E9" s="39"/>
      <c r="F9" s="39"/>
      <c r="G9" s="39"/>
      <c r="H9" s="39"/>
      <c r="I9" s="39"/>
      <c r="J9" s="39"/>
      <c r="K9" s="180"/>
      <c r="L9" s="161">
        <f t="shared" si="0"/>
        <v>0</v>
      </c>
      <c r="M9" s="1">
        <f t="shared" si="1"/>
        <v>0</v>
      </c>
      <c r="N9" s="216">
        <f t="shared" si="3"/>
        <v>0</v>
      </c>
      <c r="O9" s="161"/>
      <c r="P9" s="162" t="str">
        <f t="shared" si="2"/>
        <v/>
      </c>
      <c r="Q9" s="219"/>
      <c r="R9" s="167"/>
      <c r="S9" s="168" t="s">
        <v>59</v>
      </c>
      <c r="U9" s="4" t="s">
        <v>5</v>
      </c>
      <c r="V9" s="5">
        <f>IF(V8=0,0,V5/V8)</f>
        <v>0</v>
      </c>
    </row>
    <row r="10" spans="1:23" x14ac:dyDescent="0.25">
      <c r="A10" s="28">
        <v>5</v>
      </c>
      <c r="B10" s="175" t="s">
        <v>9</v>
      </c>
      <c r="C10" s="179"/>
      <c r="D10" s="39"/>
      <c r="E10" s="39"/>
      <c r="F10" s="39"/>
      <c r="G10" s="39"/>
      <c r="H10" s="39"/>
      <c r="I10" s="39"/>
      <c r="J10" s="39"/>
      <c r="K10" s="180"/>
      <c r="L10" s="161">
        <f t="shared" si="0"/>
        <v>0</v>
      </c>
      <c r="M10" s="1">
        <f t="shared" si="1"/>
        <v>0</v>
      </c>
      <c r="N10" s="216">
        <f t="shared" si="3"/>
        <v>0</v>
      </c>
      <c r="O10" s="161"/>
      <c r="P10" s="162" t="str">
        <f t="shared" si="2"/>
        <v/>
      </c>
      <c r="Q10" s="219"/>
      <c r="R10" s="167"/>
      <c r="S10" s="168" t="s">
        <v>59</v>
      </c>
    </row>
    <row r="11" spans="1:23" x14ac:dyDescent="0.25">
      <c r="A11" s="28">
        <v>6</v>
      </c>
      <c r="B11" s="175" t="s">
        <v>10</v>
      </c>
      <c r="C11" s="179"/>
      <c r="D11" s="39"/>
      <c r="E11" s="39"/>
      <c r="F11" s="39"/>
      <c r="G11" s="39"/>
      <c r="H11" s="39"/>
      <c r="I11" s="39"/>
      <c r="J11" s="39"/>
      <c r="K11" s="180"/>
      <c r="L11" s="161">
        <f t="shared" si="0"/>
        <v>0</v>
      </c>
      <c r="M11" s="1">
        <f t="shared" si="1"/>
        <v>0</v>
      </c>
      <c r="N11" s="216">
        <f t="shared" si="3"/>
        <v>0</v>
      </c>
      <c r="O11" s="161"/>
      <c r="P11" s="162" t="str">
        <f t="shared" si="2"/>
        <v/>
      </c>
      <c r="Q11" s="219"/>
      <c r="R11" s="167"/>
      <c r="S11" s="168" t="s">
        <v>59</v>
      </c>
    </row>
    <row r="12" spans="1:23" x14ac:dyDescent="0.25">
      <c r="A12" s="28">
        <v>7</v>
      </c>
      <c r="B12" s="175" t="s">
        <v>11</v>
      </c>
      <c r="C12" s="179"/>
      <c r="D12" s="39"/>
      <c r="E12" s="39"/>
      <c r="F12" s="39"/>
      <c r="G12" s="39"/>
      <c r="H12" s="39"/>
      <c r="I12" s="39"/>
      <c r="J12" s="39"/>
      <c r="K12" s="180"/>
      <c r="L12" s="161">
        <f t="shared" si="0"/>
        <v>0</v>
      </c>
      <c r="M12" s="1">
        <f t="shared" si="1"/>
        <v>0</v>
      </c>
      <c r="N12" s="216">
        <f t="shared" si="3"/>
        <v>0</v>
      </c>
      <c r="O12" s="161"/>
      <c r="P12" s="162" t="str">
        <f t="shared" si="2"/>
        <v/>
      </c>
      <c r="Q12" s="219"/>
      <c r="R12" s="167"/>
      <c r="S12" s="168" t="s">
        <v>59</v>
      </c>
    </row>
    <row r="13" spans="1:23" x14ac:dyDescent="0.25">
      <c r="A13" s="28">
        <v>8</v>
      </c>
      <c r="B13" s="175" t="s">
        <v>12</v>
      </c>
      <c r="C13" s="179"/>
      <c r="D13" s="39"/>
      <c r="E13" s="39"/>
      <c r="F13" s="39"/>
      <c r="G13" s="39"/>
      <c r="H13" s="39"/>
      <c r="I13" s="39"/>
      <c r="J13" s="39"/>
      <c r="K13" s="180"/>
      <c r="L13" s="161">
        <f t="shared" si="0"/>
        <v>0</v>
      </c>
      <c r="M13" s="1">
        <f t="shared" si="1"/>
        <v>0</v>
      </c>
      <c r="N13" s="216">
        <f t="shared" si="3"/>
        <v>0</v>
      </c>
      <c r="O13" s="161"/>
      <c r="P13" s="162" t="str">
        <f t="shared" si="2"/>
        <v/>
      </c>
      <c r="Q13" s="219"/>
      <c r="R13" s="167"/>
      <c r="S13" s="168" t="s">
        <v>59</v>
      </c>
    </row>
    <row r="14" spans="1:23" x14ac:dyDescent="0.25">
      <c r="A14" s="28">
        <v>9</v>
      </c>
      <c r="B14" s="175" t="s">
        <v>13</v>
      </c>
      <c r="C14" s="179"/>
      <c r="D14" s="39"/>
      <c r="E14" s="39"/>
      <c r="F14" s="39"/>
      <c r="G14" s="39"/>
      <c r="H14" s="39"/>
      <c r="I14" s="39"/>
      <c r="J14" s="39"/>
      <c r="K14" s="180"/>
      <c r="L14" s="161">
        <f t="shared" si="0"/>
        <v>0</v>
      </c>
      <c r="M14" s="1">
        <f t="shared" si="1"/>
        <v>0</v>
      </c>
      <c r="N14" s="216">
        <f t="shared" si="3"/>
        <v>0</v>
      </c>
      <c r="O14" s="161"/>
      <c r="P14" s="162" t="str">
        <f t="shared" si="2"/>
        <v/>
      </c>
      <c r="Q14" s="219"/>
      <c r="R14" s="167"/>
      <c r="S14" s="168" t="s">
        <v>59</v>
      </c>
    </row>
    <row r="15" spans="1:23" x14ac:dyDescent="0.25">
      <c r="A15" s="28">
        <v>10</v>
      </c>
      <c r="B15" s="175" t="s">
        <v>14</v>
      </c>
      <c r="C15" s="179"/>
      <c r="D15" s="39"/>
      <c r="E15" s="39"/>
      <c r="F15" s="39"/>
      <c r="G15" s="39"/>
      <c r="H15" s="39"/>
      <c r="I15" s="39"/>
      <c r="J15" s="39"/>
      <c r="K15" s="180"/>
      <c r="L15" s="161">
        <f t="shared" si="0"/>
        <v>0</v>
      </c>
      <c r="M15" s="1">
        <f t="shared" si="1"/>
        <v>0</v>
      </c>
      <c r="N15" s="216">
        <f t="shared" si="3"/>
        <v>0</v>
      </c>
      <c r="O15" s="161"/>
      <c r="P15" s="162" t="str">
        <f t="shared" si="2"/>
        <v/>
      </c>
      <c r="Q15" s="219"/>
      <c r="R15" s="167"/>
      <c r="S15" s="168" t="s">
        <v>59</v>
      </c>
      <c r="W15" s="41"/>
    </row>
    <row r="16" spans="1:23" x14ac:dyDescent="0.25">
      <c r="A16" s="28">
        <v>11</v>
      </c>
      <c r="B16" s="175"/>
      <c r="C16" s="179"/>
      <c r="D16" s="39"/>
      <c r="E16" s="39"/>
      <c r="F16" s="39"/>
      <c r="G16" s="39"/>
      <c r="H16" s="39"/>
      <c r="I16" s="39"/>
      <c r="J16" s="39"/>
      <c r="K16" s="180"/>
      <c r="L16" s="161">
        <f t="shared" si="0"/>
        <v>0</v>
      </c>
      <c r="M16" s="1">
        <f t="shared" si="1"/>
        <v>0</v>
      </c>
      <c r="N16" s="216">
        <f t="shared" si="3"/>
        <v>0</v>
      </c>
      <c r="O16" s="161"/>
      <c r="P16" s="162" t="str">
        <f t="shared" si="2"/>
        <v/>
      </c>
      <c r="Q16" s="219"/>
      <c r="R16" s="167"/>
      <c r="S16" s="168" t="s">
        <v>59</v>
      </c>
    </row>
    <row r="17" spans="1:19" x14ac:dyDescent="0.25">
      <c r="A17" s="28">
        <v>12</v>
      </c>
      <c r="B17" s="175"/>
      <c r="C17" s="179"/>
      <c r="D17" s="39"/>
      <c r="E17" s="39"/>
      <c r="F17" s="39"/>
      <c r="G17" s="39"/>
      <c r="H17" s="39"/>
      <c r="I17" s="39"/>
      <c r="J17" s="39"/>
      <c r="K17" s="180"/>
      <c r="L17" s="161">
        <f t="shared" si="0"/>
        <v>0</v>
      </c>
      <c r="M17" s="1">
        <f t="shared" si="1"/>
        <v>0</v>
      </c>
      <c r="N17" s="216">
        <f t="shared" si="3"/>
        <v>0</v>
      </c>
      <c r="O17" s="161"/>
      <c r="P17" s="162" t="str">
        <f t="shared" si="2"/>
        <v/>
      </c>
      <c r="Q17" s="219"/>
      <c r="R17" s="167"/>
      <c r="S17" s="168" t="s">
        <v>59</v>
      </c>
    </row>
    <row r="18" spans="1:19" x14ac:dyDescent="0.25">
      <c r="A18" s="28">
        <v>13</v>
      </c>
      <c r="B18" s="175"/>
      <c r="C18" s="179"/>
      <c r="D18" s="39"/>
      <c r="E18" s="39"/>
      <c r="F18" s="39"/>
      <c r="G18" s="39"/>
      <c r="H18" s="39"/>
      <c r="I18" s="39"/>
      <c r="J18" s="39"/>
      <c r="K18" s="180"/>
      <c r="L18" s="161">
        <f t="shared" si="0"/>
        <v>0</v>
      </c>
      <c r="M18" s="1">
        <f t="shared" si="1"/>
        <v>0</v>
      </c>
      <c r="N18" s="216">
        <f t="shared" si="3"/>
        <v>0</v>
      </c>
      <c r="O18" s="161"/>
      <c r="P18" s="162" t="str">
        <f t="shared" si="2"/>
        <v/>
      </c>
      <c r="Q18" s="219"/>
      <c r="R18" s="167"/>
      <c r="S18" s="168" t="s">
        <v>59</v>
      </c>
    </row>
    <row r="19" spans="1:19" x14ac:dyDescent="0.25">
      <c r="A19" s="28">
        <v>14</v>
      </c>
      <c r="B19" s="175"/>
      <c r="C19" s="179"/>
      <c r="D19" s="39"/>
      <c r="E19" s="40"/>
      <c r="F19" s="39"/>
      <c r="G19" s="39"/>
      <c r="H19" s="39"/>
      <c r="I19" s="39"/>
      <c r="J19" s="39"/>
      <c r="K19" s="180"/>
      <c r="L19" s="161">
        <f t="shared" si="0"/>
        <v>0</v>
      </c>
      <c r="M19" s="1">
        <f t="shared" si="1"/>
        <v>0</v>
      </c>
      <c r="N19" s="216">
        <f t="shared" si="3"/>
        <v>0</v>
      </c>
      <c r="O19" s="161"/>
      <c r="P19" s="162" t="str">
        <f t="shared" si="2"/>
        <v/>
      </c>
      <c r="Q19" s="219"/>
      <c r="R19" s="167"/>
      <c r="S19" s="168" t="s">
        <v>59</v>
      </c>
    </row>
    <row r="20" spans="1:19" x14ac:dyDescent="0.25">
      <c r="A20" s="28">
        <v>15</v>
      </c>
      <c r="B20" s="175"/>
      <c r="C20" s="179"/>
      <c r="D20" s="39"/>
      <c r="E20" s="39"/>
      <c r="F20" s="39"/>
      <c r="G20" s="39"/>
      <c r="H20" s="39"/>
      <c r="I20" s="39"/>
      <c r="J20" s="40"/>
      <c r="K20" s="180"/>
      <c r="L20" s="161">
        <f t="shared" si="0"/>
        <v>0</v>
      </c>
      <c r="M20" s="1">
        <f t="shared" si="1"/>
        <v>0</v>
      </c>
      <c r="N20" s="216">
        <f t="shared" si="3"/>
        <v>0</v>
      </c>
      <c r="O20" s="161"/>
      <c r="P20" s="162" t="str">
        <f t="shared" si="2"/>
        <v/>
      </c>
      <c r="Q20" s="219"/>
      <c r="R20" s="167"/>
      <c r="S20" s="168" t="s">
        <v>59</v>
      </c>
    </row>
    <row r="21" spans="1:19" x14ac:dyDescent="0.25">
      <c r="A21" s="28">
        <v>16</v>
      </c>
      <c r="B21" s="175"/>
      <c r="C21" s="179"/>
      <c r="D21" s="39"/>
      <c r="E21" s="39"/>
      <c r="F21" s="39"/>
      <c r="G21" s="39"/>
      <c r="H21" s="39"/>
      <c r="I21" s="39"/>
      <c r="J21" s="39"/>
      <c r="K21" s="180"/>
      <c r="L21" s="161">
        <f t="shared" si="0"/>
        <v>0</v>
      </c>
      <c r="M21" s="1">
        <f t="shared" si="1"/>
        <v>0</v>
      </c>
      <c r="N21" s="216">
        <f t="shared" si="3"/>
        <v>0</v>
      </c>
      <c r="O21" s="161"/>
      <c r="P21" s="162" t="str">
        <f t="shared" si="2"/>
        <v/>
      </c>
      <c r="Q21" s="219"/>
      <c r="R21" s="167"/>
      <c r="S21" s="168" t="s">
        <v>59</v>
      </c>
    </row>
    <row r="22" spans="1:19" x14ac:dyDescent="0.25">
      <c r="A22" s="28">
        <v>17</v>
      </c>
      <c r="B22" s="175"/>
      <c r="C22" s="179"/>
      <c r="D22" s="39"/>
      <c r="E22" s="39"/>
      <c r="F22" s="39"/>
      <c r="G22" s="39"/>
      <c r="H22" s="39"/>
      <c r="I22" s="39"/>
      <c r="J22" s="39"/>
      <c r="K22" s="180"/>
      <c r="L22" s="161">
        <f t="shared" si="0"/>
        <v>0</v>
      </c>
      <c r="M22" s="1">
        <f t="shared" si="1"/>
        <v>0</v>
      </c>
      <c r="N22" s="216">
        <f t="shared" si="3"/>
        <v>0</v>
      </c>
      <c r="O22" s="161"/>
      <c r="P22" s="162" t="str">
        <f t="shared" si="2"/>
        <v/>
      </c>
      <c r="Q22" s="219"/>
      <c r="R22" s="167"/>
      <c r="S22" s="168" t="s">
        <v>59</v>
      </c>
    </row>
    <row r="23" spans="1:19" x14ac:dyDescent="0.25">
      <c r="A23" s="28">
        <v>18</v>
      </c>
      <c r="B23" s="175"/>
      <c r="C23" s="179"/>
      <c r="D23" s="39"/>
      <c r="E23" s="39"/>
      <c r="F23" s="39"/>
      <c r="G23" s="39"/>
      <c r="H23" s="39"/>
      <c r="I23" s="39"/>
      <c r="J23" s="39"/>
      <c r="K23" s="180"/>
      <c r="L23" s="161">
        <f t="shared" si="0"/>
        <v>0</v>
      </c>
      <c r="M23" s="1">
        <f t="shared" si="1"/>
        <v>0</v>
      </c>
      <c r="N23" s="216">
        <f t="shared" si="3"/>
        <v>0</v>
      </c>
      <c r="O23" s="161"/>
      <c r="P23" s="162" t="str">
        <f t="shared" si="2"/>
        <v/>
      </c>
      <c r="Q23" s="219"/>
      <c r="R23" s="167"/>
      <c r="S23" s="168" t="s">
        <v>59</v>
      </c>
    </row>
    <row r="24" spans="1:19" x14ac:dyDescent="0.25">
      <c r="A24" s="28">
        <v>19</v>
      </c>
      <c r="B24" s="175"/>
      <c r="C24" s="179"/>
      <c r="D24" s="39"/>
      <c r="E24" s="39"/>
      <c r="F24" s="39"/>
      <c r="G24" s="39"/>
      <c r="H24" s="39"/>
      <c r="I24" s="39"/>
      <c r="J24" s="39"/>
      <c r="K24" s="180"/>
      <c r="L24" s="161">
        <f t="shared" si="0"/>
        <v>0</v>
      </c>
      <c r="M24" s="1">
        <f t="shared" si="1"/>
        <v>0</v>
      </c>
      <c r="N24" s="216">
        <f t="shared" si="3"/>
        <v>0</v>
      </c>
      <c r="O24" s="161"/>
      <c r="P24" s="162" t="str">
        <f t="shared" si="2"/>
        <v/>
      </c>
      <c r="Q24" s="219"/>
      <c r="R24" s="167"/>
      <c r="S24" s="168" t="s">
        <v>59</v>
      </c>
    </row>
    <row r="25" spans="1:19" x14ac:dyDescent="0.25">
      <c r="A25" s="28">
        <v>20</v>
      </c>
      <c r="B25" s="175"/>
      <c r="C25" s="179"/>
      <c r="D25" s="39"/>
      <c r="E25" s="39"/>
      <c r="F25" s="39"/>
      <c r="G25" s="39"/>
      <c r="H25" s="39"/>
      <c r="I25" s="39"/>
      <c r="J25" s="39"/>
      <c r="K25" s="180"/>
      <c r="L25" s="161">
        <f t="shared" si="0"/>
        <v>0</v>
      </c>
      <c r="M25" s="1">
        <f t="shared" si="1"/>
        <v>0</v>
      </c>
      <c r="N25" s="216">
        <f t="shared" si="3"/>
        <v>0</v>
      </c>
      <c r="O25" s="161"/>
      <c r="P25" s="162" t="str">
        <f t="shared" si="2"/>
        <v/>
      </c>
      <c r="Q25" s="219"/>
      <c r="R25" s="167"/>
      <c r="S25" s="168" t="s">
        <v>59</v>
      </c>
    </row>
    <row r="26" spans="1:19" x14ac:dyDescent="0.25">
      <c r="A26" s="28">
        <v>21</v>
      </c>
      <c r="B26" s="175"/>
      <c r="C26" s="179"/>
      <c r="D26" s="39"/>
      <c r="E26" s="39"/>
      <c r="F26" s="39"/>
      <c r="G26" s="39"/>
      <c r="H26" s="39"/>
      <c r="I26" s="39"/>
      <c r="J26" s="39"/>
      <c r="K26" s="180"/>
      <c r="L26" s="161">
        <f t="shared" si="0"/>
        <v>0</v>
      </c>
      <c r="M26" s="1">
        <f t="shared" si="1"/>
        <v>0</v>
      </c>
      <c r="N26" s="216">
        <f t="shared" si="3"/>
        <v>0</v>
      </c>
      <c r="O26" s="161"/>
      <c r="P26" s="162" t="str">
        <f t="shared" si="2"/>
        <v/>
      </c>
      <c r="Q26" s="219"/>
      <c r="R26" s="167"/>
      <c r="S26" s="168" t="s">
        <v>59</v>
      </c>
    </row>
    <row r="27" spans="1:19" x14ac:dyDescent="0.25">
      <c r="A27" s="28">
        <v>22</v>
      </c>
      <c r="B27" s="175"/>
      <c r="C27" s="179"/>
      <c r="D27" s="39"/>
      <c r="E27" s="39"/>
      <c r="F27" s="39"/>
      <c r="G27" s="39"/>
      <c r="H27" s="39"/>
      <c r="I27" s="39"/>
      <c r="J27" s="39"/>
      <c r="K27" s="180"/>
      <c r="L27" s="161">
        <f t="shared" si="0"/>
        <v>0</v>
      </c>
      <c r="M27" s="1">
        <f t="shared" si="1"/>
        <v>0</v>
      </c>
      <c r="N27" s="216">
        <f t="shared" si="3"/>
        <v>0</v>
      </c>
      <c r="O27" s="161"/>
      <c r="P27" s="162" t="str">
        <f t="shared" si="2"/>
        <v/>
      </c>
      <c r="Q27" s="219"/>
      <c r="R27" s="167"/>
      <c r="S27" s="168" t="s">
        <v>59</v>
      </c>
    </row>
    <row r="28" spans="1:19" ht="15.75" thickBot="1" x14ac:dyDescent="0.3">
      <c r="A28" s="28">
        <v>23</v>
      </c>
      <c r="B28" s="175" t="s">
        <v>91</v>
      </c>
      <c r="C28" s="181"/>
      <c r="D28" s="182"/>
      <c r="E28" s="182"/>
      <c r="F28" s="182"/>
      <c r="G28" s="182"/>
      <c r="H28" s="182"/>
      <c r="I28" s="182"/>
      <c r="J28" s="182"/>
      <c r="K28" s="183"/>
      <c r="L28" s="163">
        <f t="shared" si="0"/>
        <v>0</v>
      </c>
      <c r="M28" s="205">
        <f t="shared" si="1"/>
        <v>0</v>
      </c>
      <c r="N28" s="217">
        <f t="shared" si="3"/>
        <v>0</v>
      </c>
      <c r="O28" s="163"/>
      <c r="P28" s="164" t="str">
        <f t="shared" si="2"/>
        <v/>
      </c>
      <c r="Q28" s="220"/>
      <c r="R28" s="169"/>
      <c r="S28" s="170" t="s">
        <v>59</v>
      </c>
    </row>
    <row r="30" spans="1:19" x14ac:dyDescent="0.25">
      <c r="N30" s="6">
        <f>SUM(N6:N28)</f>
        <v>0</v>
      </c>
    </row>
  </sheetData>
  <sheetProtection formatCells="0" formatColumns="0" formatRows="0" insertColumns="0" insertRows="0" insertHyperlinks="0" deleteColumns="0" deleteRows="0" sort="0"/>
  <mergeCells count="14">
    <mergeCell ref="A4:A5"/>
    <mergeCell ref="B4:B5"/>
    <mergeCell ref="L4:L5"/>
    <mergeCell ref="M4:M5"/>
    <mergeCell ref="N4:N5"/>
    <mergeCell ref="J3:K3"/>
    <mergeCell ref="C1:S2"/>
    <mergeCell ref="C3:H3"/>
    <mergeCell ref="L3:N3"/>
    <mergeCell ref="Q3:Q5"/>
    <mergeCell ref="R3:S5"/>
    <mergeCell ref="O3:P3"/>
    <mergeCell ref="O4:O5"/>
    <mergeCell ref="P4:P5"/>
  </mergeCells>
  <conditionalFormatting sqref="L6:O28">
    <cfRule type="cellIs" dxfId="40" priority="11" operator="greaterThan">
      <formula>0</formula>
    </cfRule>
  </conditionalFormatting>
  <conditionalFormatting sqref="R6:R9 R11:R28">
    <cfRule type="expression" dxfId="39" priority="7">
      <formula>AND(S6="Si",N6&lt;&gt;0)</formula>
    </cfRule>
  </conditionalFormatting>
  <conditionalFormatting sqref="C6:K28">
    <cfRule type="expression" dxfId="38" priority="6">
      <formula>C6&gt;0</formula>
    </cfRule>
  </conditionalFormatting>
  <conditionalFormatting sqref="P6:P28">
    <cfRule type="cellIs" dxfId="37" priority="4" operator="lessThan">
      <formula>0</formula>
    </cfRule>
    <cfRule type="cellIs" dxfId="36" priority="5" operator="greaterThan">
      <formula>-1</formula>
    </cfRule>
  </conditionalFormatting>
  <conditionalFormatting sqref="P6:P28">
    <cfRule type="cellIs" priority="3" stopIfTrue="1" operator="equal">
      <formula>""</formula>
    </cfRule>
  </conditionalFormatting>
  <conditionalFormatting sqref="R6:R28">
    <cfRule type="expression" dxfId="35" priority="1">
      <formula>AND(S6="Si",N6&lt;&gt;0)</formula>
    </cfRule>
    <cfRule type="expression" dxfId="34" priority="2">
      <formula>AND(S6="No",N6&lt;&gt;0)</formula>
    </cfRule>
  </conditionalFormatting>
  <dataValidations count="2">
    <dataValidation type="list" showInputMessage="1" showErrorMessage="1" sqref="S6:S28" xr:uid="{21F6941C-BC0E-48D9-A1E5-985A73B27386}">
      <formula1>"NO,SI"</formula1>
    </dataValidation>
    <dataValidation type="list" showDropDown="1" showInputMessage="1" showErrorMessage="1" sqref="R6:R28" xr:uid="{ED0766C9-3987-488D-97FA-E15473791B4B}">
      <formula1>"NO,SI"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liminar_Todo_Tortas_El_Chango">
                <anchor moveWithCells="1" sizeWithCells="1">
                  <from>
                    <xdr:col>20</xdr:col>
                    <xdr:colOff>28575</xdr:colOff>
                    <xdr:row>10</xdr:row>
                    <xdr:rowOff>171450</xdr:rowOff>
                  </from>
                  <to>
                    <xdr:col>20</xdr:col>
                    <xdr:colOff>1314450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5" name="Button 14">
              <controlPr defaultSize="0" print="0" autoFill="0" autoPict="0" macro="[0]!Btn_Tacos_EL_Chango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20</xdr:col>
                    <xdr:colOff>1343025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64138-B3F9-43B6-9411-C4A10F3EF006}">
  <sheetPr codeName="Hoja8">
    <tabColor rgb="FF00B050"/>
  </sheetPr>
  <dimension ref="A1:BD31"/>
  <sheetViews>
    <sheetView showGridLines="0" topLeftCell="A4" zoomScaleNormal="100" workbookViewId="0">
      <pane xSplit="2" topLeftCell="C1" activePane="topRight" state="frozen"/>
      <selection pane="topRight" activeCell="A7" sqref="A7:B29"/>
    </sheetView>
  </sheetViews>
  <sheetFormatPr baseColWidth="10" defaultRowHeight="15" x14ac:dyDescent="0.25"/>
  <cols>
    <col min="1" max="1" width="4" bestFit="1" customWidth="1"/>
    <col min="2" max="2" width="18.5703125" customWidth="1"/>
    <col min="3" max="3" width="6.5703125" bestFit="1" customWidth="1"/>
    <col min="4" max="4" width="7.5703125" bestFit="1" customWidth="1"/>
    <col min="5" max="8" width="6.5703125" bestFit="1" customWidth="1"/>
    <col min="9" max="9" width="8.140625" bestFit="1" customWidth="1"/>
    <col min="10" max="12" width="8.140625" customWidth="1"/>
    <col min="13" max="32" width="6.5703125" bestFit="1" customWidth="1"/>
    <col min="33" max="41" width="6.5703125" customWidth="1"/>
    <col min="42" max="42" width="8.140625" bestFit="1" customWidth="1"/>
    <col min="43" max="44" width="6.5703125" customWidth="1"/>
    <col min="45" max="45" width="9" bestFit="1" customWidth="1"/>
    <col min="46" max="46" width="10.5703125" bestFit="1" customWidth="1"/>
    <col min="47" max="47" width="9" bestFit="1" customWidth="1"/>
    <col min="48" max="49" width="9" customWidth="1"/>
    <col min="50" max="50" width="15.7109375" customWidth="1"/>
    <col min="51" max="51" width="5.7109375" customWidth="1"/>
    <col min="52" max="52" width="5.5703125" customWidth="1"/>
    <col min="53" max="53" width="5.7109375" customWidth="1"/>
    <col min="54" max="54" width="20.5703125" bestFit="1" customWidth="1"/>
  </cols>
  <sheetData>
    <row r="1" spans="1:56" ht="19.149999999999999" customHeight="1" x14ac:dyDescent="0.25">
      <c r="A1" s="73"/>
      <c r="B1" s="74"/>
      <c r="C1" s="121" t="s">
        <v>122</v>
      </c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3"/>
    </row>
    <row r="2" spans="1:56" ht="18" customHeight="1" thickBot="1" x14ac:dyDescent="0.3">
      <c r="A2" s="75"/>
      <c r="B2" s="31"/>
      <c r="C2" s="124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8"/>
      <c r="AR2" s="88"/>
      <c r="AS2" s="88"/>
      <c r="AT2" s="88"/>
      <c r="AU2" s="88"/>
      <c r="AV2" s="87"/>
      <c r="AW2" s="87"/>
      <c r="AX2" s="88"/>
      <c r="AY2" s="88"/>
      <c r="AZ2" s="125"/>
    </row>
    <row r="3" spans="1:56" ht="31.15" customHeight="1" x14ac:dyDescent="0.25">
      <c r="A3" s="7"/>
      <c r="B3" s="8"/>
      <c r="C3" s="119" t="s">
        <v>76</v>
      </c>
      <c r="D3" s="115"/>
      <c r="E3" s="115"/>
      <c r="F3" s="115"/>
      <c r="G3" s="115"/>
      <c r="H3" s="115"/>
      <c r="I3" s="115"/>
      <c r="J3" s="115"/>
      <c r="K3" s="115"/>
      <c r="L3" s="115"/>
      <c r="M3" s="104" t="s">
        <v>83</v>
      </c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30"/>
      <c r="AG3" s="119" t="s">
        <v>82</v>
      </c>
      <c r="AH3" s="115"/>
      <c r="AI3" s="115"/>
      <c r="AJ3" s="115"/>
      <c r="AK3" s="115"/>
      <c r="AL3" s="115"/>
      <c r="AM3" s="115"/>
      <c r="AN3" s="115"/>
      <c r="AO3" s="115"/>
      <c r="AP3" s="116"/>
      <c r="AQ3" s="115" t="s">
        <v>113</v>
      </c>
      <c r="AR3" s="116"/>
      <c r="AS3" s="119"/>
      <c r="AT3" s="115"/>
      <c r="AU3" s="115"/>
      <c r="AV3" s="104" t="s">
        <v>86</v>
      </c>
      <c r="AW3" s="105"/>
      <c r="AX3" s="101" t="s">
        <v>57</v>
      </c>
      <c r="AY3" s="89" t="s">
        <v>58</v>
      </c>
      <c r="AZ3" s="90"/>
      <c r="BB3" s="41"/>
    </row>
    <row r="4" spans="1:56" ht="60.6" customHeight="1" thickBot="1" x14ac:dyDescent="0.3">
      <c r="A4" s="71"/>
      <c r="B4" s="44"/>
      <c r="C4" s="120"/>
      <c r="D4" s="117"/>
      <c r="E4" s="117"/>
      <c r="F4" s="117"/>
      <c r="G4" s="117"/>
      <c r="H4" s="117"/>
      <c r="I4" s="117"/>
      <c r="J4" s="117"/>
      <c r="K4" s="117"/>
      <c r="L4" s="117"/>
      <c r="M4" s="131" t="s">
        <v>114</v>
      </c>
      <c r="N4" s="113"/>
      <c r="O4" s="112" t="s">
        <v>115</v>
      </c>
      <c r="P4" s="112"/>
      <c r="Q4" s="112" t="s">
        <v>116</v>
      </c>
      <c r="R4" s="112"/>
      <c r="S4" s="112" t="s">
        <v>34</v>
      </c>
      <c r="T4" s="112"/>
      <c r="U4" s="112" t="s">
        <v>117</v>
      </c>
      <c r="V4" s="112"/>
      <c r="W4" s="112" t="s">
        <v>118</v>
      </c>
      <c r="X4" s="112"/>
      <c r="Y4" s="113" t="s">
        <v>78</v>
      </c>
      <c r="Z4" s="113"/>
      <c r="AA4" s="113" t="s">
        <v>119</v>
      </c>
      <c r="AB4" s="113"/>
      <c r="AC4" s="113" t="s">
        <v>120</v>
      </c>
      <c r="AD4" s="113"/>
      <c r="AE4" s="113" t="s">
        <v>77</v>
      </c>
      <c r="AF4" s="114"/>
      <c r="AG4" s="120"/>
      <c r="AH4" s="117"/>
      <c r="AI4" s="117"/>
      <c r="AJ4" s="117"/>
      <c r="AK4" s="117"/>
      <c r="AL4" s="117"/>
      <c r="AM4" s="117"/>
      <c r="AN4" s="117"/>
      <c r="AO4" s="117"/>
      <c r="AP4" s="118"/>
      <c r="AQ4" s="117"/>
      <c r="AR4" s="118"/>
      <c r="AS4" s="120"/>
      <c r="AT4" s="117"/>
      <c r="AU4" s="117"/>
      <c r="AV4" s="132"/>
      <c r="AW4" s="133"/>
      <c r="AX4" s="126"/>
      <c r="AY4" s="91"/>
      <c r="AZ4" s="92"/>
    </row>
    <row r="5" spans="1:56" ht="79.150000000000006" customHeight="1" thickBot="1" x14ac:dyDescent="0.3">
      <c r="A5" s="76" t="s">
        <v>3</v>
      </c>
      <c r="B5" s="95" t="s">
        <v>1</v>
      </c>
      <c r="C5" s="24" t="s">
        <v>114</v>
      </c>
      <c r="D5" s="65" t="s">
        <v>115</v>
      </c>
      <c r="E5" s="65" t="s">
        <v>116</v>
      </c>
      <c r="F5" s="65" t="s">
        <v>34</v>
      </c>
      <c r="G5" s="65" t="s">
        <v>117</v>
      </c>
      <c r="H5" s="65" t="s">
        <v>118</v>
      </c>
      <c r="I5" s="25" t="s">
        <v>78</v>
      </c>
      <c r="J5" s="25" t="s">
        <v>119</v>
      </c>
      <c r="K5" s="25" t="s">
        <v>120</v>
      </c>
      <c r="L5" s="26" t="s">
        <v>77</v>
      </c>
      <c r="M5" s="24" t="s">
        <v>84</v>
      </c>
      <c r="N5" s="25" t="s">
        <v>85</v>
      </c>
      <c r="O5" s="25" t="s">
        <v>84</v>
      </c>
      <c r="P5" s="25" t="s">
        <v>85</v>
      </c>
      <c r="Q5" s="25" t="s">
        <v>84</v>
      </c>
      <c r="R5" s="25" t="s">
        <v>85</v>
      </c>
      <c r="S5" s="25" t="s">
        <v>84</v>
      </c>
      <c r="T5" s="25" t="s">
        <v>85</v>
      </c>
      <c r="U5" s="25" t="s">
        <v>84</v>
      </c>
      <c r="V5" s="25" t="s">
        <v>85</v>
      </c>
      <c r="W5" s="25" t="s">
        <v>84</v>
      </c>
      <c r="X5" s="25" t="s">
        <v>85</v>
      </c>
      <c r="Y5" s="25" t="s">
        <v>84</v>
      </c>
      <c r="Z5" s="25" t="s">
        <v>85</v>
      </c>
      <c r="AA5" s="25" t="s">
        <v>84</v>
      </c>
      <c r="AB5" s="25" t="s">
        <v>85</v>
      </c>
      <c r="AC5" s="25" t="s">
        <v>84</v>
      </c>
      <c r="AD5" s="25" t="s">
        <v>85</v>
      </c>
      <c r="AE5" s="25" t="s">
        <v>84</v>
      </c>
      <c r="AF5" s="26" t="s">
        <v>85</v>
      </c>
      <c r="AG5" s="24" t="s">
        <v>114</v>
      </c>
      <c r="AH5" s="65" t="s">
        <v>115</v>
      </c>
      <c r="AI5" s="65" t="s">
        <v>116</v>
      </c>
      <c r="AJ5" s="65" t="s">
        <v>34</v>
      </c>
      <c r="AK5" s="65" t="s">
        <v>117</v>
      </c>
      <c r="AL5" s="65" t="s">
        <v>118</v>
      </c>
      <c r="AM5" s="25" t="s">
        <v>78</v>
      </c>
      <c r="AN5" s="25" t="s">
        <v>119</v>
      </c>
      <c r="AO5" s="25" t="s">
        <v>120</v>
      </c>
      <c r="AP5" s="12" t="s">
        <v>77</v>
      </c>
      <c r="AQ5" s="72" t="s">
        <v>84</v>
      </c>
      <c r="AR5" s="12" t="s">
        <v>85</v>
      </c>
      <c r="AS5" s="110" t="s">
        <v>55</v>
      </c>
      <c r="AT5" s="99" t="s">
        <v>56</v>
      </c>
      <c r="AU5" s="97" t="s">
        <v>0</v>
      </c>
      <c r="AV5" s="78" t="s">
        <v>86</v>
      </c>
      <c r="AW5" s="127" t="s">
        <v>87</v>
      </c>
      <c r="AX5" s="102"/>
      <c r="AY5" s="91"/>
      <c r="AZ5" s="92"/>
      <c r="BB5" s="49" t="s">
        <v>60</v>
      </c>
      <c r="BC5" s="33">
        <f>SUM(AS7:AS29)</f>
        <v>0</v>
      </c>
    </row>
    <row r="6" spans="1:56" ht="15.6" customHeight="1" thickBot="1" x14ac:dyDescent="0.3">
      <c r="A6" s="77"/>
      <c r="B6" s="96"/>
      <c r="C6" s="50">
        <v>15</v>
      </c>
      <c r="D6" s="55">
        <v>12</v>
      </c>
      <c r="E6" s="55">
        <v>12</v>
      </c>
      <c r="F6" s="55">
        <v>12</v>
      </c>
      <c r="G6" s="55">
        <v>12</v>
      </c>
      <c r="H6" s="55">
        <v>15</v>
      </c>
      <c r="I6" s="55">
        <v>12</v>
      </c>
      <c r="J6" s="55">
        <v>12</v>
      </c>
      <c r="K6" s="55">
        <v>12</v>
      </c>
      <c r="L6" s="58">
        <v>12</v>
      </c>
      <c r="M6" s="50">
        <v>45</v>
      </c>
      <c r="N6" s="55">
        <v>50</v>
      </c>
      <c r="O6" s="55">
        <v>45</v>
      </c>
      <c r="P6" s="55">
        <v>50</v>
      </c>
      <c r="Q6" s="55">
        <v>45</v>
      </c>
      <c r="R6" s="55">
        <v>50</v>
      </c>
      <c r="S6" s="55">
        <v>45</v>
      </c>
      <c r="T6" s="55">
        <v>50</v>
      </c>
      <c r="U6" s="55">
        <v>45</v>
      </c>
      <c r="V6" s="55">
        <v>50</v>
      </c>
      <c r="W6" s="55">
        <v>45</v>
      </c>
      <c r="X6" s="55">
        <v>50</v>
      </c>
      <c r="Y6" s="55">
        <v>45</v>
      </c>
      <c r="Z6" s="55">
        <v>50</v>
      </c>
      <c r="AA6" s="55">
        <v>45</v>
      </c>
      <c r="AB6" s="55">
        <v>50</v>
      </c>
      <c r="AC6" s="55">
        <v>45</v>
      </c>
      <c r="AD6" s="55">
        <v>50</v>
      </c>
      <c r="AE6" s="55">
        <v>45</v>
      </c>
      <c r="AF6" s="58">
        <v>50</v>
      </c>
      <c r="AG6" s="50">
        <v>35</v>
      </c>
      <c r="AH6" s="55">
        <v>35</v>
      </c>
      <c r="AI6" s="55">
        <v>35</v>
      </c>
      <c r="AJ6" s="55">
        <v>35</v>
      </c>
      <c r="AK6" s="55">
        <v>35</v>
      </c>
      <c r="AL6" s="55">
        <v>35</v>
      </c>
      <c r="AM6" s="55">
        <v>35</v>
      </c>
      <c r="AN6" s="55">
        <v>35</v>
      </c>
      <c r="AO6" s="55">
        <v>35</v>
      </c>
      <c r="AP6" s="52">
        <v>35</v>
      </c>
      <c r="AQ6" s="56">
        <v>60</v>
      </c>
      <c r="AR6" s="52">
        <v>70</v>
      </c>
      <c r="AS6" s="111"/>
      <c r="AT6" s="100"/>
      <c r="AU6" s="98"/>
      <c r="AV6" s="79"/>
      <c r="AW6" s="128"/>
      <c r="AX6" s="103"/>
      <c r="AY6" s="93"/>
      <c r="AZ6" s="94"/>
      <c r="BB6" s="32" t="s">
        <v>56</v>
      </c>
      <c r="BC6" s="37">
        <v>90</v>
      </c>
      <c r="BD6" t="s">
        <v>90</v>
      </c>
    </row>
    <row r="7" spans="1:56" ht="15.75" thickBot="1" x14ac:dyDescent="0.3">
      <c r="A7" s="208">
        <v>1</v>
      </c>
      <c r="B7" s="209" t="s">
        <v>2</v>
      </c>
      <c r="C7" s="176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8"/>
      <c r="AS7" s="155">
        <f t="shared" ref="AS7:AS29" si="0">SUMPRODUCT($C$6:$AR$6,C7:AR7)</f>
        <v>0</v>
      </c>
      <c r="AT7" s="204">
        <f t="shared" ref="AT7:AT29" si="1">IF(COUNTIF(C7:AR7,"&gt;0")&gt;0,$BC$10,0)</f>
        <v>0</v>
      </c>
      <c r="AU7" s="215">
        <f>AS7+AT7</f>
        <v>0</v>
      </c>
      <c r="AV7" s="155"/>
      <c r="AW7" s="157" t="str">
        <f>IF(AU7=0,"",AV7-AU7)</f>
        <v/>
      </c>
      <c r="AX7" s="171"/>
      <c r="AY7" s="165"/>
      <c r="AZ7" s="166" t="s">
        <v>59</v>
      </c>
      <c r="BB7" s="4" t="s">
        <v>0</v>
      </c>
      <c r="BC7" s="34">
        <f>SUM(BC5:BC6)</f>
        <v>90</v>
      </c>
    </row>
    <row r="8" spans="1:56" ht="15.75" thickBot="1" x14ac:dyDescent="0.3">
      <c r="A8" s="210">
        <v>2</v>
      </c>
      <c r="B8" s="211" t="s">
        <v>108</v>
      </c>
      <c r="C8" s="17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180"/>
      <c r="AS8" s="158">
        <f t="shared" si="0"/>
        <v>0</v>
      </c>
      <c r="AT8" s="35">
        <f t="shared" si="1"/>
        <v>0</v>
      </c>
      <c r="AU8" s="216">
        <f>AS8+AT8</f>
        <v>0</v>
      </c>
      <c r="AV8" s="161"/>
      <c r="AW8" s="162" t="str">
        <f t="shared" ref="AW8:AW29" si="2">IF(AU8=0,"",AV8-AU8)</f>
        <v/>
      </c>
      <c r="AX8" s="172"/>
      <c r="AY8" s="167"/>
      <c r="AZ8" s="168" t="s">
        <v>59</v>
      </c>
    </row>
    <row r="9" spans="1:56" x14ac:dyDescent="0.25">
      <c r="A9" s="210">
        <v>3</v>
      </c>
      <c r="B9" s="211" t="s">
        <v>121</v>
      </c>
      <c r="C9" s="17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80"/>
      <c r="AS9" s="158">
        <f t="shared" si="0"/>
        <v>0</v>
      </c>
      <c r="AT9" s="35">
        <f t="shared" si="1"/>
        <v>0</v>
      </c>
      <c r="AU9" s="216">
        <f t="shared" ref="AU9:AU29" si="3">AS9+AT9</f>
        <v>0</v>
      </c>
      <c r="AV9" s="161"/>
      <c r="AW9" s="162" t="str">
        <f t="shared" si="2"/>
        <v/>
      </c>
      <c r="AX9" s="172"/>
      <c r="AY9" s="167"/>
      <c r="AZ9" s="168" t="s">
        <v>59</v>
      </c>
      <c r="BB9" s="2" t="s">
        <v>4</v>
      </c>
      <c r="BC9" s="3">
        <f>COUNTIF(AS7:AS29,"&gt;0")</f>
        <v>0</v>
      </c>
    </row>
    <row r="10" spans="1:56" ht="15.75" thickBot="1" x14ac:dyDescent="0.3">
      <c r="A10" s="210">
        <v>4</v>
      </c>
      <c r="B10" s="211" t="s">
        <v>8</v>
      </c>
      <c r="C10" s="17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80"/>
      <c r="AS10" s="158">
        <f t="shared" si="0"/>
        <v>0</v>
      </c>
      <c r="AT10" s="35">
        <f t="shared" si="1"/>
        <v>0</v>
      </c>
      <c r="AU10" s="216">
        <f t="shared" si="3"/>
        <v>0</v>
      </c>
      <c r="AV10" s="161"/>
      <c r="AW10" s="162" t="str">
        <f t="shared" si="2"/>
        <v/>
      </c>
      <c r="AX10" s="172"/>
      <c r="AY10" s="167"/>
      <c r="AZ10" s="168" t="s">
        <v>59</v>
      </c>
      <c r="BB10" s="4" t="s">
        <v>5</v>
      </c>
      <c r="BC10" s="5">
        <f>IF(BC9=0,0,BC6/BC9)</f>
        <v>0</v>
      </c>
    </row>
    <row r="11" spans="1:56" x14ac:dyDescent="0.25">
      <c r="A11" s="210">
        <v>5</v>
      </c>
      <c r="B11" s="211" t="s">
        <v>9</v>
      </c>
      <c r="C11" s="17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180"/>
      <c r="AS11" s="158">
        <f t="shared" si="0"/>
        <v>0</v>
      </c>
      <c r="AT11" s="35">
        <f t="shared" si="1"/>
        <v>0</v>
      </c>
      <c r="AU11" s="216">
        <f t="shared" si="3"/>
        <v>0</v>
      </c>
      <c r="AV11" s="161"/>
      <c r="AW11" s="162" t="str">
        <f t="shared" si="2"/>
        <v/>
      </c>
      <c r="AX11" s="172"/>
      <c r="AY11" s="167"/>
      <c r="AZ11" s="168" t="s">
        <v>59</v>
      </c>
    </row>
    <row r="12" spans="1:56" x14ac:dyDescent="0.25">
      <c r="A12" s="210">
        <v>6</v>
      </c>
      <c r="B12" s="211" t="s">
        <v>10</v>
      </c>
      <c r="C12" s="17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180"/>
      <c r="AS12" s="158">
        <f t="shared" si="0"/>
        <v>0</v>
      </c>
      <c r="AT12" s="35">
        <f t="shared" si="1"/>
        <v>0</v>
      </c>
      <c r="AU12" s="216">
        <f t="shared" si="3"/>
        <v>0</v>
      </c>
      <c r="AV12" s="161"/>
      <c r="AW12" s="162" t="str">
        <f t="shared" si="2"/>
        <v/>
      </c>
      <c r="AX12" s="221"/>
      <c r="AY12" s="167"/>
      <c r="AZ12" s="168" t="s">
        <v>59</v>
      </c>
    </row>
    <row r="13" spans="1:56" x14ac:dyDescent="0.25">
      <c r="A13" s="210">
        <v>7</v>
      </c>
      <c r="B13" s="211" t="s">
        <v>11</v>
      </c>
      <c r="C13" s="17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180"/>
      <c r="AS13" s="158">
        <f t="shared" si="0"/>
        <v>0</v>
      </c>
      <c r="AT13" s="35">
        <f t="shared" si="1"/>
        <v>0</v>
      </c>
      <c r="AU13" s="216">
        <f t="shared" si="3"/>
        <v>0</v>
      </c>
      <c r="AV13" s="161"/>
      <c r="AW13" s="162" t="str">
        <f t="shared" si="2"/>
        <v/>
      </c>
      <c r="AX13" s="172"/>
      <c r="AY13" s="167"/>
      <c r="AZ13" s="168" t="s">
        <v>59</v>
      </c>
    </row>
    <row r="14" spans="1:56" x14ac:dyDescent="0.25">
      <c r="A14" s="210">
        <v>8</v>
      </c>
      <c r="B14" s="211" t="s">
        <v>109</v>
      </c>
      <c r="C14" s="17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180"/>
      <c r="AS14" s="158">
        <f t="shared" si="0"/>
        <v>0</v>
      </c>
      <c r="AT14" s="35">
        <f t="shared" si="1"/>
        <v>0</v>
      </c>
      <c r="AU14" s="216">
        <f t="shared" si="3"/>
        <v>0</v>
      </c>
      <c r="AV14" s="161"/>
      <c r="AW14" s="162" t="str">
        <f t="shared" si="2"/>
        <v/>
      </c>
      <c r="AX14" s="172"/>
      <c r="AY14" s="167"/>
      <c r="AZ14" s="168" t="s">
        <v>59</v>
      </c>
    </row>
    <row r="15" spans="1:56" x14ac:dyDescent="0.25">
      <c r="A15" s="210">
        <v>9</v>
      </c>
      <c r="B15" s="211" t="s">
        <v>110</v>
      </c>
      <c r="C15" s="17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180"/>
      <c r="AS15" s="158">
        <f t="shared" si="0"/>
        <v>0</v>
      </c>
      <c r="AT15" s="35">
        <f t="shared" si="1"/>
        <v>0</v>
      </c>
      <c r="AU15" s="216">
        <f t="shared" si="3"/>
        <v>0</v>
      </c>
      <c r="AV15" s="161"/>
      <c r="AW15" s="162" t="str">
        <f t="shared" si="2"/>
        <v/>
      </c>
      <c r="AX15" s="172"/>
      <c r="AY15" s="167"/>
      <c r="AZ15" s="168" t="s">
        <v>59</v>
      </c>
    </row>
    <row r="16" spans="1:56" x14ac:dyDescent="0.25">
      <c r="A16" s="210">
        <v>10</v>
      </c>
      <c r="B16" s="211" t="s">
        <v>123</v>
      </c>
      <c r="C16" s="17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180"/>
      <c r="AS16" s="158">
        <f t="shared" si="0"/>
        <v>0</v>
      </c>
      <c r="AT16" s="35">
        <f t="shared" si="1"/>
        <v>0</v>
      </c>
      <c r="AU16" s="216">
        <f t="shared" si="3"/>
        <v>0</v>
      </c>
      <c r="AV16" s="161"/>
      <c r="AW16" s="162" t="str">
        <f t="shared" si="2"/>
        <v/>
      </c>
      <c r="AX16" s="172"/>
      <c r="AY16" s="167"/>
      <c r="AZ16" s="168" t="s">
        <v>59</v>
      </c>
      <c r="BD16" s="41"/>
    </row>
    <row r="17" spans="1:52" x14ac:dyDescent="0.25">
      <c r="A17" s="210">
        <v>11</v>
      </c>
      <c r="B17" s="211"/>
      <c r="C17" s="17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180"/>
      <c r="AS17" s="158">
        <f t="shared" si="0"/>
        <v>0</v>
      </c>
      <c r="AT17" s="35">
        <f t="shared" si="1"/>
        <v>0</v>
      </c>
      <c r="AU17" s="216">
        <f t="shared" si="3"/>
        <v>0</v>
      </c>
      <c r="AV17" s="161"/>
      <c r="AW17" s="162" t="str">
        <f t="shared" si="2"/>
        <v/>
      </c>
      <c r="AX17" s="172"/>
      <c r="AY17" s="167"/>
      <c r="AZ17" s="168" t="s">
        <v>59</v>
      </c>
    </row>
    <row r="18" spans="1:52" x14ac:dyDescent="0.25">
      <c r="A18" s="210">
        <v>12</v>
      </c>
      <c r="B18" s="211"/>
      <c r="C18" s="17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180"/>
      <c r="AS18" s="158">
        <f t="shared" si="0"/>
        <v>0</v>
      </c>
      <c r="AT18" s="35">
        <f t="shared" si="1"/>
        <v>0</v>
      </c>
      <c r="AU18" s="216">
        <f t="shared" si="3"/>
        <v>0</v>
      </c>
      <c r="AV18" s="161"/>
      <c r="AW18" s="162" t="str">
        <f t="shared" si="2"/>
        <v/>
      </c>
      <c r="AX18" s="172"/>
      <c r="AY18" s="167"/>
      <c r="AZ18" s="168" t="s">
        <v>59</v>
      </c>
    </row>
    <row r="19" spans="1:52" x14ac:dyDescent="0.25">
      <c r="A19" s="210">
        <v>13</v>
      </c>
      <c r="B19" s="211"/>
      <c r="C19" s="17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180"/>
      <c r="AS19" s="158">
        <f t="shared" si="0"/>
        <v>0</v>
      </c>
      <c r="AT19" s="35">
        <f t="shared" si="1"/>
        <v>0</v>
      </c>
      <c r="AU19" s="216">
        <f t="shared" si="3"/>
        <v>0</v>
      </c>
      <c r="AV19" s="161"/>
      <c r="AW19" s="162" t="str">
        <f t="shared" si="2"/>
        <v/>
      </c>
      <c r="AX19" s="172"/>
      <c r="AY19" s="167"/>
      <c r="AZ19" s="168" t="s">
        <v>59</v>
      </c>
    </row>
    <row r="20" spans="1:52" x14ac:dyDescent="0.25">
      <c r="A20" s="210">
        <v>14</v>
      </c>
      <c r="B20" s="211"/>
      <c r="C20" s="179"/>
      <c r="D20" s="39"/>
      <c r="E20" s="40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180"/>
      <c r="AS20" s="158">
        <f t="shared" si="0"/>
        <v>0</v>
      </c>
      <c r="AT20" s="35">
        <f t="shared" si="1"/>
        <v>0</v>
      </c>
      <c r="AU20" s="216">
        <f t="shared" si="3"/>
        <v>0</v>
      </c>
      <c r="AV20" s="161"/>
      <c r="AW20" s="162" t="str">
        <f t="shared" si="2"/>
        <v/>
      </c>
      <c r="AX20" s="172"/>
      <c r="AY20" s="167"/>
      <c r="AZ20" s="168" t="s">
        <v>59</v>
      </c>
    </row>
    <row r="21" spans="1:52" x14ac:dyDescent="0.25">
      <c r="A21" s="210">
        <v>15</v>
      </c>
      <c r="B21" s="211"/>
      <c r="C21" s="179"/>
      <c r="D21" s="39"/>
      <c r="E21" s="39"/>
      <c r="F21" s="39"/>
      <c r="G21" s="39"/>
      <c r="H21" s="39"/>
      <c r="I21" s="39"/>
      <c r="J21" s="39"/>
      <c r="K21" s="39"/>
      <c r="L21" s="39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39"/>
      <c r="AQ21" s="39"/>
      <c r="AR21" s="180"/>
      <c r="AS21" s="158">
        <f t="shared" si="0"/>
        <v>0</v>
      </c>
      <c r="AT21" s="35">
        <f t="shared" si="1"/>
        <v>0</v>
      </c>
      <c r="AU21" s="216">
        <f t="shared" si="3"/>
        <v>0</v>
      </c>
      <c r="AV21" s="161"/>
      <c r="AW21" s="162" t="str">
        <f t="shared" si="2"/>
        <v/>
      </c>
      <c r="AX21" s="172"/>
      <c r="AY21" s="167"/>
      <c r="AZ21" s="168" t="s">
        <v>59</v>
      </c>
    </row>
    <row r="22" spans="1:52" x14ac:dyDescent="0.25">
      <c r="A22" s="210">
        <v>16</v>
      </c>
      <c r="B22" s="211"/>
      <c r="C22" s="17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180"/>
      <c r="AS22" s="158">
        <f t="shared" si="0"/>
        <v>0</v>
      </c>
      <c r="AT22" s="35">
        <f t="shared" si="1"/>
        <v>0</v>
      </c>
      <c r="AU22" s="216">
        <f t="shared" si="3"/>
        <v>0</v>
      </c>
      <c r="AV22" s="161"/>
      <c r="AW22" s="162" t="str">
        <f t="shared" si="2"/>
        <v/>
      </c>
      <c r="AX22" s="172"/>
      <c r="AY22" s="167"/>
      <c r="AZ22" s="168" t="s">
        <v>59</v>
      </c>
    </row>
    <row r="23" spans="1:52" x14ac:dyDescent="0.25">
      <c r="A23" s="210">
        <v>17</v>
      </c>
      <c r="B23" s="211"/>
      <c r="C23" s="17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180"/>
      <c r="AS23" s="158">
        <f t="shared" si="0"/>
        <v>0</v>
      </c>
      <c r="AT23" s="35">
        <f t="shared" si="1"/>
        <v>0</v>
      </c>
      <c r="AU23" s="216">
        <f t="shared" si="3"/>
        <v>0</v>
      </c>
      <c r="AV23" s="161"/>
      <c r="AW23" s="162" t="str">
        <f t="shared" si="2"/>
        <v/>
      </c>
      <c r="AX23" s="172"/>
      <c r="AY23" s="167"/>
      <c r="AZ23" s="168" t="s">
        <v>59</v>
      </c>
    </row>
    <row r="24" spans="1:52" x14ac:dyDescent="0.25">
      <c r="A24" s="210">
        <v>18</v>
      </c>
      <c r="B24" s="211"/>
      <c r="C24" s="17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180"/>
      <c r="AS24" s="158">
        <f t="shared" si="0"/>
        <v>0</v>
      </c>
      <c r="AT24" s="35">
        <f t="shared" si="1"/>
        <v>0</v>
      </c>
      <c r="AU24" s="216">
        <f t="shared" si="3"/>
        <v>0</v>
      </c>
      <c r="AV24" s="161"/>
      <c r="AW24" s="162" t="str">
        <f t="shared" si="2"/>
        <v/>
      </c>
      <c r="AX24" s="172"/>
      <c r="AY24" s="167"/>
      <c r="AZ24" s="168" t="s">
        <v>59</v>
      </c>
    </row>
    <row r="25" spans="1:52" x14ac:dyDescent="0.25">
      <c r="A25" s="210">
        <v>19</v>
      </c>
      <c r="B25" s="211"/>
      <c r="C25" s="17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180"/>
      <c r="AS25" s="158">
        <f t="shared" si="0"/>
        <v>0</v>
      </c>
      <c r="AT25" s="35">
        <f t="shared" si="1"/>
        <v>0</v>
      </c>
      <c r="AU25" s="216">
        <f>AS25+AT25</f>
        <v>0</v>
      </c>
      <c r="AV25" s="161"/>
      <c r="AW25" s="162" t="str">
        <f t="shared" si="2"/>
        <v/>
      </c>
      <c r="AX25" s="172"/>
      <c r="AY25" s="167"/>
      <c r="AZ25" s="168" t="s">
        <v>59</v>
      </c>
    </row>
    <row r="26" spans="1:52" x14ac:dyDescent="0.25">
      <c r="A26" s="210">
        <v>20</v>
      </c>
      <c r="B26" s="211"/>
      <c r="C26" s="17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180"/>
      <c r="AS26" s="158">
        <f t="shared" si="0"/>
        <v>0</v>
      </c>
      <c r="AT26" s="35">
        <f t="shared" si="1"/>
        <v>0</v>
      </c>
      <c r="AU26" s="216">
        <f t="shared" si="3"/>
        <v>0</v>
      </c>
      <c r="AV26" s="161"/>
      <c r="AW26" s="162" t="str">
        <f t="shared" si="2"/>
        <v/>
      </c>
      <c r="AX26" s="172"/>
      <c r="AY26" s="167"/>
      <c r="AZ26" s="168" t="s">
        <v>59</v>
      </c>
    </row>
    <row r="27" spans="1:52" x14ac:dyDescent="0.25">
      <c r="A27" s="210">
        <v>21</v>
      </c>
      <c r="B27" s="211"/>
      <c r="C27" s="17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180"/>
      <c r="AS27" s="158">
        <f t="shared" si="0"/>
        <v>0</v>
      </c>
      <c r="AT27" s="35">
        <f t="shared" si="1"/>
        <v>0</v>
      </c>
      <c r="AU27" s="216">
        <f t="shared" si="3"/>
        <v>0</v>
      </c>
      <c r="AV27" s="161"/>
      <c r="AW27" s="162" t="str">
        <f t="shared" si="2"/>
        <v/>
      </c>
      <c r="AX27" s="172"/>
      <c r="AY27" s="167"/>
      <c r="AZ27" s="168" t="s">
        <v>59</v>
      </c>
    </row>
    <row r="28" spans="1:52" x14ac:dyDescent="0.25">
      <c r="A28" s="210">
        <v>22</v>
      </c>
      <c r="B28" s="211"/>
      <c r="C28" s="17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180"/>
      <c r="AS28" s="158">
        <f t="shared" si="0"/>
        <v>0</v>
      </c>
      <c r="AT28" s="35">
        <f t="shared" si="1"/>
        <v>0</v>
      </c>
      <c r="AU28" s="216">
        <f t="shared" si="3"/>
        <v>0</v>
      </c>
      <c r="AV28" s="161"/>
      <c r="AW28" s="162" t="str">
        <f t="shared" si="2"/>
        <v/>
      </c>
      <c r="AX28" s="172"/>
      <c r="AY28" s="167"/>
      <c r="AZ28" s="168" t="s">
        <v>59</v>
      </c>
    </row>
    <row r="29" spans="1:52" ht="15.75" thickBot="1" x14ac:dyDescent="0.3">
      <c r="A29" s="212">
        <v>23</v>
      </c>
      <c r="B29" s="213"/>
      <c r="C29" s="181"/>
      <c r="D29" s="182"/>
      <c r="E29" s="182"/>
      <c r="F29" s="182"/>
      <c r="G29" s="182"/>
      <c r="H29" s="182"/>
      <c r="I29" s="182"/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182"/>
      <c r="AA29" s="182"/>
      <c r="AB29" s="182"/>
      <c r="AC29" s="182"/>
      <c r="AD29" s="182"/>
      <c r="AE29" s="182"/>
      <c r="AF29" s="182"/>
      <c r="AG29" s="182"/>
      <c r="AH29" s="182"/>
      <c r="AI29" s="182"/>
      <c r="AJ29" s="182"/>
      <c r="AK29" s="182"/>
      <c r="AL29" s="182"/>
      <c r="AM29" s="182"/>
      <c r="AN29" s="182"/>
      <c r="AO29" s="182"/>
      <c r="AP29" s="182"/>
      <c r="AQ29" s="182"/>
      <c r="AR29" s="183"/>
      <c r="AS29" s="159">
        <f t="shared" si="0"/>
        <v>0</v>
      </c>
      <c r="AT29" s="160">
        <f t="shared" si="1"/>
        <v>0</v>
      </c>
      <c r="AU29" s="217">
        <f t="shared" si="3"/>
        <v>0</v>
      </c>
      <c r="AV29" s="163"/>
      <c r="AW29" s="164" t="str">
        <f t="shared" si="2"/>
        <v/>
      </c>
      <c r="AX29" s="173"/>
      <c r="AY29" s="169"/>
      <c r="AZ29" s="170" t="s">
        <v>59</v>
      </c>
    </row>
    <row r="31" spans="1:52" x14ac:dyDescent="0.25">
      <c r="AU31" s="6">
        <f>SUM(AU7:AU29)</f>
        <v>0</v>
      </c>
    </row>
  </sheetData>
  <sheetProtection formatCells="0" formatColumns="0" formatRows="0" insertColumns="0" insertRows="0" insertHyperlinks="0" deleteColumns="0" deleteRows="0" sort="0"/>
  <mergeCells count="26">
    <mergeCell ref="AV5:AV6"/>
    <mergeCell ref="C1:AZ2"/>
    <mergeCell ref="AX3:AX6"/>
    <mergeCell ref="AY3:AZ6"/>
    <mergeCell ref="AW5:AW6"/>
    <mergeCell ref="C3:L4"/>
    <mergeCell ref="M3:AF3"/>
    <mergeCell ref="M4:N4"/>
    <mergeCell ref="Y4:Z4"/>
    <mergeCell ref="AV3:AW4"/>
    <mergeCell ref="A5:A6"/>
    <mergeCell ref="B5:B6"/>
    <mergeCell ref="AS5:AS6"/>
    <mergeCell ref="AT5:AT6"/>
    <mergeCell ref="O4:P4"/>
    <mergeCell ref="Q4:R4"/>
    <mergeCell ref="S4:T4"/>
    <mergeCell ref="U4:V4"/>
    <mergeCell ref="W4:X4"/>
    <mergeCell ref="AA4:AB4"/>
    <mergeCell ref="AC4:AD4"/>
    <mergeCell ref="AE4:AF4"/>
    <mergeCell ref="AQ3:AR4"/>
    <mergeCell ref="AG3:AP4"/>
    <mergeCell ref="AS3:AU4"/>
    <mergeCell ref="AU5:AU6"/>
  </mergeCells>
  <conditionalFormatting sqref="AS7:AV29">
    <cfRule type="cellIs" dxfId="33" priority="10" operator="greaterThan">
      <formula>0</formula>
    </cfRule>
  </conditionalFormatting>
  <conditionalFormatting sqref="C7:AR29">
    <cfRule type="expression" dxfId="31" priority="6">
      <formula>C7&gt;0</formula>
    </cfRule>
  </conditionalFormatting>
  <conditionalFormatting sqref="AW7:AW29">
    <cfRule type="cellIs" dxfId="30" priority="4" operator="lessThan">
      <formula>0</formula>
    </cfRule>
    <cfRule type="cellIs" dxfId="29" priority="5" operator="greaterThan">
      <formula>-1</formula>
    </cfRule>
  </conditionalFormatting>
  <conditionalFormatting sqref="AW7:AW29">
    <cfRule type="cellIs" priority="3" stopIfTrue="1" operator="equal">
      <formula>""</formula>
    </cfRule>
  </conditionalFormatting>
  <conditionalFormatting sqref="AY7:AY29">
    <cfRule type="expression" dxfId="25" priority="1">
      <formula>AND(AZ7="Si",AU7&lt;&gt;0)</formula>
    </cfRule>
    <cfRule type="expression" dxfId="24" priority="2">
      <formula>AND(AZ7="No",AU7&lt;&gt;0)</formula>
    </cfRule>
  </conditionalFormatting>
  <dataValidations count="2">
    <dataValidation type="list" showInputMessage="1" showErrorMessage="1" sqref="AZ7:AZ29" xr:uid="{2DCA50C6-039B-478A-81C9-A215276CF52B}">
      <formula1>"NO,SI"</formula1>
    </dataValidation>
    <dataValidation type="list" showDropDown="1" showInputMessage="1" showErrorMessage="1" sqref="AY7 AY9:AY29" xr:uid="{17999341-C172-43FD-8162-C30E4F23B1C1}">
      <formula1>"NO,SI"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liminar_Todo_TACOS_DLEO">
                <anchor moveWithCells="1" sizeWithCells="1">
                  <from>
                    <xdr:col>53</xdr:col>
                    <xdr:colOff>38100</xdr:colOff>
                    <xdr:row>12</xdr:row>
                    <xdr:rowOff>0</xdr:rowOff>
                  </from>
                  <to>
                    <xdr:col>53</xdr:col>
                    <xdr:colOff>1323975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tn_Tacos_EL_Chango">
                <anchor moveWithCells="1" sizeWithCells="1">
                  <from>
                    <xdr:col>53</xdr:col>
                    <xdr:colOff>66675</xdr:colOff>
                    <xdr:row>15</xdr:row>
                    <xdr:rowOff>28575</xdr:rowOff>
                  </from>
                  <to>
                    <xdr:col>53</xdr:col>
                    <xdr:colOff>1343025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2E94A-B4AA-4CDD-A8B8-ED44573D9DE4}">
  <sheetPr codeName="Hoja7">
    <tabColor rgb="FF00B050"/>
  </sheetPr>
  <dimension ref="A1:AF43"/>
  <sheetViews>
    <sheetView showGridLines="0" zoomScaleNormal="100" workbookViewId="0">
      <pane xSplit="2" topLeftCell="C1" activePane="topRight" state="frozen"/>
      <selection pane="topRight" activeCell="N14" sqref="N14"/>
    </sheetView>
  </sheetViews>
  <sheetFormatPr baseColWidth="10" defaultRowHeight="15" x14ac:dyDescent="0.25"/>
  <cols>
    <col min="1" max="1" width="4" bestFit="1" customWidth="1"/>
    <col min="2" max="2" width="18.5703125" customWidth="1"/>
    <col min="3" max="3" width="6.5703125" bestFit="1" customWidth="1"/>
    <col min="4" max="4" width="7.5703125" bestFit="1" customWidth="1"/>
    <col min="5" max="8" width="6.5703125" bestFit="1" customWidth="1"/>
    <col min="9" max="9" width="8.140625" bestFit="1" customWidth="1"/>
    <col min="10" max="16" width="8.140625" customWidth="1"/>
    <col min="17" max="17" width="11.42578125" bestFit="1" customWidth="1"/>
    <col min="18" max="20" width="6.5703125" customWidth="1"/>
    <col min="21" max="21" width="9" bestFit="1" customWidth="1"/>
    <col min="22" max="22" width="10.5703125" bestFit="1" customWidth="1"/>
    <col min="23" max="23" width="9" bestFit="1" customWidth="1"/>
    <col min="24" max="25" width="9" customWidth="1"/>
    <col min="26" max="26" width="15.7109375" customWidth="1"/>
    <col min="27" max="27" width="5.7109375" customWidth="1"/>
    <col min="28" max="28" width="5.5703125" customWidth="1"/>
    <col min="29" max="29" width="5.7109375" customWidth="1"/>
    <col min="30" max="30" width="20.5703125" bestFit="1" customWidth="1"/>
  </cols>
  <sheetData>
    <row r="1" spans="1:32" ht="19.149999999999999" customHeight="1" x14ac:dyDescent="0.25">
      <c r="A1" s="29"/>
      <c r="B1" s="29"/>
      <c r="C1" s="87" t="s">
        <v>95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</row>
    <row r="2" spans="1:32" ht="18" customHeight="1" thickBot="1" x14ac:dyDescent="0.3">
      <c r="A2" s="30"/>
      <c r="B2" s="31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88"/>
      <c r="S2" s="88"/>
      <c r="T2" s="88"/>
      <c r="U2" s="88"/>
      <c r="V2" s="88"/>
      <c r="W2" s="88"/>
      <c r="X2" s="87"/>
      <c r="Y2" s="87"/>
      <c r="Z2" s="88"/>
      <c r="AA2" s="152"/>
      <c r="AB2" s="152"/>
    </row>
    <row r="3" spans="1:32" ht="31.15" customHeight="1" thickBot="1" x14ac:dyDescent="0.3">
      <c r="A3" s="7"/>
      <c r="B3" s="8"/>
      <c r="C3" s="104" t="s">
        <v>96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05"/>
      <c r="Q3" s="66"/>
      <c r="R3" s="66"/>
      <c r="S3" s="68"/>
      <c r="T3" s="68"/>
      <c r="U3" s="80"/>
      <c r="V3" s="82"/>
      <c r="W3" s="82"/>
      <c r="X3" s="104" t="s">
        <v>86</v>
      </c>
      <c r="Y3" s="105"/>
      <c r="Z3" s="101" t="s">
        <v>57</v>
      </c>
      <c r="AA3" s="196" t="s">
        <v>58</v>
      </c>
      <c r="AB3" s="197"/>
    </row>
    <row r="4" spans="1:32" ht="79.150000000000006" customHeight="1" thickBot="1" x14ac:dyDescent="0.3">
      <c r="A4" s="76" t="s">
        <v>3</v>
      </c>
      <c r="B4" s="95" t="s">
        <v>1</v>
      </c>
      <c r="C4" s="24" t="s">
        <v>97</v>
      </c>
      <c r="D4" s="65" t="s">
        <v>98</v>
      </c>
      <c r="E4" s="65" t="s">
        <v>99</v>
      </c>
      <c r="F4" s="65" t="s">
        <v>100</v>
      </c>
      <c r="G4" s="65" t="s">
        <v>101</v>
      </c>
      <c r="H4" s="65" t="s">
        <v>102</v>
      </c>
      <c r="I4" s="25" t="s">
        <v>103</v>
      </c>
      <c r="J4" s="25" t="s">
        <v>104</v>
      </c>
      <c r="K4" s="25" t="s">
        <v>105</v>
      </c>
      <c r="L4" s="25" t="s">
        <v>106</v>
      </c>
      <c r="M4" s="25" t="s">
        <v>112</v>
      </c>
      <c r="N4" s="25" t="s">
        <v>107</v>
      </c>
      <c r="O4" s="25">
        <v>1910</v>
      </c>
      <c r="P4" s="12">
        <v>1910</v>
      </c>
      <c r="Q4" s="67" t="s">
        <v>38</v>
      </c>
      <c r="R4" s="67" t="s">
        <v>92</v>
      </c>
      <c r="S4" s="69" t="s">
        <v>93</v>
      </c>
      <c r="T4" s="69" t="s">
        <v>94</v>
      </c>
      <c r="U4" s="78" t="s">
        <v>55</v>
      </c>
      <c r="V4" s="99" t="s">
        <v>56</v>
      </c>
      <c r="W4" s="97" t="s">
        <v>0</v>
      </c>
      <c r="X4" s="106" t="s">
        <v>86</v>
      </c>
      <c r="Y4" s="108" t="s">
        <v>87</v>
      </c>
      <c r="Z4" s="102"/>
      <c r="AA4" s="198"/>
      <c r="AB4" s="199"/>
      <c r="AD4" s="49" t="s">
        <v>60</v>
      </c>
      <c r="AE4" s="33">
        <f>SUM(U6:U28)</f>
        <v>0</v>
      </c>
    </row>
    <row r="5" spans="1:32" ht="15.6" customHeight="1" thickBot="1" x14ac:dyDescent="0.3">
      <c r="A5" s="77"/>
      <c r="B5" s="96"/>
      <c r="C5" s="50">
        <v>99</v>
      </c>
      <c r="D5" s="55">
        <v>99</v>
      </c>
      <c r="E5" s="55">
        <v>95</v>
      </c>
      <c r="F5" s="55">
        <v>95</v>
      </c>
      <c r="G5" s="55">
        <v>99</v>
      </c>
      <c r="H5" s="55">
        <v>95</v>
      </c>
      <c r="I5" s="55">
        <v>95</v>
      </c>
      <c r="J5" s="55">
        <v>99</v>
      </c>
      <c r="K5" s="55">
        <v>95</v>
      </c>
      <c r="L5" s="55">
        <v>95</v>
      </c>
      <c r="M5" s="55">
        <v>95</v>
      </c>
      <c r="N5" s="55">
        <v>95</v>
      </c>
      <c r="O5" s="55">
        <v>95</v>
      </c>
      <c r="P5" s="52">
        <v>95</v>
      </c>
      <c r="Q5" s="53">
        <v>60</v>
      </c>
      <c r="R5" s="53">
        <v>20</v>
      </c>
      <c r="S5" s="54">
        <v>20</v>
      </c>
      <c r="T5" s="54">
        <v>17</v>
      </c>
      <c r="U5" s="79"/>
      <c r="V5" s="100"/>
      <c r="W5" s="98"/>
      <c r="X5" s="107"/>
      <c r="Y5" s="109"/>
      <c r="Z5" s="103"/>
      <c r="AA5" s="200"/>
      <c r="AB5" s="201"/>
      <c r="AD5" s="32" t="s">
        <v>56</v>
      </c>
      <c r="AE5" s="37">
        <v>60</v>
      </c>
      <c r="AF5" t="s">
        <v>90</v>
      </c>
    </row>
    <row r="6" spans="1:32" ht="15.75" thickBot="1" x14ac:dyDescent="0.3">
      <c r="A6" s="27">
        <v>1</v>
      </c>
      <c r="B6" s="174" t="s">
        <v>2</v>
      </c>
      <c r="C6" s="176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8"/>
      <c r="U6" s="155">
        <f>SUMPRODUCT($C$5:$T$5,C6:T6)</f>
        <v>0</v>
      </c>
      <c r="V6" s="156">
        <f>IF(COUNTIF(C6:T6,"&gt;0")&gt;0,$AE$9,0)</f>
        <v>0</v>
      </c>
      <c r="W6" s="215">
        <f>U6+V6</f>
        <v>0</v>
      </c>
      <c r="X6" s="155"/>
      <c r="Y6" s="157" t="str">
        <f>IF(W6=0,"",X6-W6)</f>
        <v/>
      </c>
      <c r="Z6" s="171"/>
      <c r="AA6" s="165"/>
      <c r="AB6" s="166" t="s">
        <v>59</v>
      </c>
      <c r="AD6" s="4" t="s">
        <v>0</v>
      </c>
      <c r="AE6" s="34">
        <f>SUM(AE4:AE5)</f>
        <v>60</v>
      </c>
    </row>
    <row r="7" spans="1:32" ht="15.75" thickBot="1" x14ac:dyDescent="0.3">
      <c r="A7" s="28">
        <v>2</v>
      </c>
      <c r="B7" s="175" t="s">
        <v>108</v>
      </c>
      <c r="C7" s="17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180"/>
      <c r="U7" s="158">
        <f t="shared" ref="U7:U28" si="0">SUMPRODUCT($C$5:$T$5,C7:T7)</f>
        <v>0</v>
      </c>
      <c r="V7" s="35">
        <f t="shared" ref="V7:V28" si="1">IF(COUNTIF(C7:T7,"&gt;0")&gt;0,$AE$9,0)</f>
        <v>0</v>
      </c>
      <c r="W7" s="216">
        <f>U7+V7</f>
        <v>0</v>
      </c>
      <c r="X7" s="161"/>
      <c r="Y7" s="162" t="str">
        <f t="shared" ref="Y7:Y28" si="2">IF(W7=0,"",X7-W7)</f>
        <v/>
      </c>
      <c r="Z7" s="172"/>
      <c r="AA7" s="202"/>
      <c r="AB7" s="168" t="s">
        <v>59</v>
      </c>
    </row>
    <row r="8" spans="1:32" x14ac:dyDescent="0.25">
      <c r="A8" s="28">
        <v>3</v>
      </c>
      <c r="B8" s="175"/>
      <c r="C8" s="17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180"/>
      <c r="U8" s="158">
        <f t="shared" si="0"/>
        <v>0</v>
      </c>
      <c r="V8" s="35">
        <f t="shared" si="1"/>
        <v>0</v>
      </c>
      <c r="W8" s="216">
        <f t="shared" ref="W8:W28" si="3">U8+V8</f>
        <v>0</v>
      </c>
      <c r="X8" s="161"/>
      <c r="Y8" s="162" t="str">
        <f t="shared" si="2"/>
        <v/>
      </c>
      <c r="Z8" s="172"/>
      <c r="AA8" s="202"/>
      <c r="AB8" s="168" t="s">
        <v>59</v>
      </c>
      <c r="AD8" s="2" t="s">
        <v>4</v>
      </c>
      <c r="AE8" s="3">
        <f>COUNTIF(U6:U28,"&gt;0")</f>
        <v>0</v>
      </c>
    </row>
    <row r="9" spans="1:32" ht="15.75" thickBot="1" x14ac:dyDescent="0.3">
      <c r="A9" s="28">
        <v>4</v>
      </c>
      <c r="B9" s="175" t="s">
        <v>8</v>
      </c>
      <c r="C9" s="17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180"/>
      <c r="U9" s="158">
        <f t="shared" si="0"/>
        <v>0</v>
      </c>
      <c r="V9" s="35">
        <f t="shared" si="1"/>
        <v>0</v>
      </c>
      <c r="W9" s="216">
        <f t="shared" si="3"/>
        <v>0</v>
      </c>
      <c r="X9" s="161"/>
      <c r="Y9" s="162" t="str">
        <f t="shared" si="2"/>
        <v/>
      </c>
      <c r="Z9" s="172"/>
      <c r="AA9" s="202"/>
      <c r="AB9" s="168" t="s">
        <v>59</v>
      </c>
      <c r="AD9" s="4" t="s">
        <v>5</v>
      </c>
      <c r="AE9" s="5">
        <f>IF(AE8=0,0,AE5/AE8)</f>
        <v>0</v>
      </c>
    </row>
    <row r="10" spans="1:32" x14ac:dyDescent="0.25">
      <c r="A10" s="28">
        <v>5</v>
      </c>
      <c r="B10" s="175" t="s">
        <v>9</v>
      </c>
      <c r="C10" s="17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180"/>
      <c r="U10" s="158">
        <f t="shared" si="0"/>
        <v>0</v>
      </c>
      <c r="V10" s="35">
        <f t="shared" si="1"/>
        <v>0</v>
      </c>
      <c r="W10" s="216">
        <f t="shared" si="3"/>
        <v>0</v>
      </c>
      <c r="X10" s="161"/>
      <c r="Y10" s="162" t="str">
        <f t="shared" si="2"/>
        <v/>
      </c>
      <c r="Z10" s="172"/>
      <c r="AA10" s="202"/>
      <c r="AB10" s="168" t="s">
        <v>59</v>
      </c>
    </row>
    <row r="11" spans="1:32" x14ac:dyDescent="0.25">
      <c r="A11" s="28">
        <v>6</v>
      </c>
      <c r="B11" s="175" t="s">
        <v>10</v>
      </c>
      <c r="C11" s="17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180"/>
      <c r="U11" s="158">
        <f t="shared" si="0"/>
        <v>0</v>
      </c>
      <c r="V11" s="35">
        <f t="shared" si="1"/>
        <v>0</v>
      </c>
      <c r="W11" s="216">
        <f t="shared" si="3"/>
        <v>0</v>
      </c>
      <c r="X11" s="161"/>
      <c r="Y11" s="162" t="str">
        <f t="shared" si="2"/>
        <v/>
      </c>
      <c r="Z11" s="172"/>
      <c r="AA11" s="202"/>
      <c r="AB11" s="168" t="s">
        <v>59</v>
      </c>
    </row>
    <row r="12" spans="1:32" x14ac:dyDescent="0.25">
      <c r="A12" s="28">
        <v>7</v>
      </c>
      <c r="B12" s="175" t="s">
        <v>11</v>
      </c>
      <c r="C12" s="17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180"/>
      <c r="U12" s="158">
        <f t="shared" si="0"/>
        <v>0</v>
      </c>
      <c r="V12" s="35">
        <f t="shared" si="1"/>
        <v>0</v>
      </c>
      <c r="W12" s="216">
        <f t="shared" si="3"/>
        <v>0</v>
      </c>
      <c r="X12" s="161"/>
      <c r="Y12" s="162" t="str">
        <f t="shared" si="2"/>
        <v/>
      </c>
      <c r="Z12" s="172"/>
      <c r="AA12" s="202"/>
      <c r="AB12" s="168" t="s">
        <v>59</v>
      </c>
    </row>
    <row r="13" spans="1:32" x14ac:dyDescent="0.25">
      <c r="A13" s="28">
        <v>8</v>
      </c>
      <c r="B13" s="175" t="s">
        <v>109</v>
      </c>
      <c r="C13" s="17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180"/>
      <c r="U13" s="158">
        <f t="shared" si="0"/>
        <v>0</v>
      </c>
      <c r="V13" s="35">
        <f t="shared" si="1"/>
        <v>0</v>
      </c>
      <c r="W13" s="216">
        <f t="shared" si="3"/>
        <v>0</v>
      </c>
      <c r="X13" s="161"/>
      <c r="Y13" s="162" t="str">
        <f t="shared" si="2"/>
        <v/>
      </c>
      <c r="Z13" s="172"/>
      <c r="AA13" s="202"/>
      <c r="AB13" s="168" t="s">
        <v>59</v>
      </c>
    </row>
    <row r="14" spans="1:32" x14ac:dyDescent="0.25">
      <c r="A14" s="28">
        <v>9</v>
      </c>
      <c r="B14" s="175" t="s">
        <v>110</v>
      </c>
      <c r="C14" s="17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180"/>
      <c r="U14" s="158">
        <f t="shared" si="0"/>
        <v>0</v>
      </c>
      <c r="V14" s="35">
        <f t="shared" si="1"/>
        <v>0</v>
      </c>
      <c r="W14" s="216">
        <f t="shared" si="3"/>
        <v>0</v>
      </c>
      <c r="X14" s="161"/>
      <c r="Y14" s="162" t="str">
        <f t="shared" si="2"/>
        <v/>
      </c>
      <c r="Z14" s="172"/>
      <c r="AA14" s="202"/>
      <c r="AB14" s="168" t="s">
        <v>59</v>
      </c>
    </row>
    <row r="15" spans="1:32" x14ac:dyDescent="0.25">
      <c r="A15" s="28">
        <v>10</v>
      </c>
      <c r="B15" s="175"/>
      <c r="C15" s="17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180"/>
      <c r="U15" s="158">
        <f t="shared" si="0"/>
        <v>0</v>
      </c>
      <c r="V15" s="35">
        <f t="shared" si="1"/>
        <v>0</v>
      </c>
      <c r="W15" s="216">
        <f t="shared" si="3"/>
        <v>0</v>
      </c>
      <c r="X15" s="161"/>
      <c r="Y15" s="162" t="str">
        <f t="shared" si="2"/>
        <v/>
      </c>
      <c r="Z15" s="172"/>
      <c r="AA15" s="202"/>
      <c r="AB15" s="168" t="s">
        <v>59</v>
      </c>
      <c r="AF15" s="41"/>
    </row>
    <row r="16" spans="1:32" x14ac:dyDescent="0.25">
      <c r="A16" s="28">
        <v>11</v>
      </c>
      <c r="B16" s="175"/>
      <c r="C16" s="17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180"/>
      <c r="U16" s="158">
        <f t="shared" si="0"/>
        <v>0</v>
      </c>
      <c r="V16" s="35">
        <f t="shared" si="1"/>
        <v>0</v>
      </c>
      <c r="W16" s="216">
        <f t="shared" si="3"/>
        <v>0</v>
      </c>
      <c r="X16" s="161"/>
      <c r="Y16" s="162" t="str">
        <f t="shared" si="2"/>
        <v/>
      </c>
      <c r="Z16" s="172"/>
      <c r="AA16" s="202"/>
      <c r="AB16" s="168" t="s">
        <v>59</v>
      </c>
    </row>
    <row r="17" spans="1:28" x14ac:dyDescent="0.25">
      <c r="A17" s="28">
        <v>12</v>
      </c>
      <c r="B17" s="175"/>
      <c r="C17" s="17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180"/>
      <c r="U17" s="158">
        <f t="shared" si="0"/>
        <v>0</v>
      </c>
      <c r="V17" s="35">
        <f t="shared" si="1"/>
        <v>0</v>
      </c>
      <c r="W17" s="216">
        <f t="shared" si="3"/>
        <v>0</v>
      </c>
      <c r="X17" s="161"/>
      <c r="Y17" s="162" t="str">
        <f t="shared" si="2"/>
        <v/>
      </c>
      <c r="Z17" s="172"/>
      <c r="AA17" s="202"/>
      <c r="AB17" s="168" t="s">
        <v>59</v>
      </c>
    </row>
    <row r="18" spans="1:28" x14ac:dyDescent="0.25">
      <c r="A18" s="28">
        <v>13</v>
      </c>
      <c r="B18" s="175"/>
      <c r="C18" s="17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180"/>
      <c r="U18" s="158">
        <f t="shared" si="0"/>
        <v>0</v>
      </c>
      <c r="V18" s="35">
        <f t="shared" si="1"/>
        <v>0</v>
      </c>
      <c r="W18" s="216">
        <f t="shared" si="3"/>
        <v>0</v>
      </c>
      <c r="X18" s="161"/>
      <c r="Y18" s="162" t="str">
        <f t="shared" si="2"/>
        <v/>
      </c>
      <c r="Z18" s="172"/>
      <c r="AA18" s="202"/>
      <c r="AB18" s="168" t="s">
        <v>59</v>
      </c>
    </row>
    <row r="19" spans="1:28" x14ac:dyDescent="0.25">
      <c r="A19" s="28">
        <v>14</v>
      </c>
      <c r="B19" s="175"/>
      <c r="C19" s="179"/>
      <c r="D19" s="39"/>
      <c r="E19" s="40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180"/>
      <c r="U19" s="158">
        <f t="shared" si="0"/>
        <v>0</v>
      </c>
      <c r="V19" s="35">
        <f t="shared" si="1"/>
        <v>0</v>
      </c>
      <c r="W19" s="216">
        <f t="shared" si="3"/>
        <v>0</v>
      </c>
      <c r="X19" s="161"/>
      <c r="Y19" s="162" t="str">
        <f t="shared" si="2"/>
        <v/>
      </c>
      <c r="Z19" s="172"/>
      <c r="AA19" s="202"/>
      <c r="AB19" s="168" t="s">
        <v>59</v>
      </c>
    </row>
    <row r="20" spans="1:28" x14ac:dyDescent="0.25">
      <c r="A20" s="28">
        <v>15</v>
      </c>
      <c r="B20" s="175"/>
      <c r="C20" s="17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40"/>
      <c r="R20" s="39"/>
      <c r="S20" s="39"/>
      <c r="T20" s="180"/>
      <c r="U20" s="158">
        <f t="shared" si="0"/>
        <v>0</v>
      </c>
      <c r="V20" s="35">
        <f t="shared" si="1"/>
        <v>0</v>
      </c>
      <c r="W20" s="216">
        <f t="shared" si="3"/>
        <v>0</v>
      </c>
      <c r="X20" s="161"/>
      <c r="Y20" s="162" t="str">
        <f t="shared" si="2"/>
        <v/>
      </c>
      <c r="Z20" s="172"/>
      <c r="AA20" s="202"/>
      <c r="AB20" s="168" t="s">
        <v>59</v>
      </c>
    </row>
    <row r="21" spans="1:28" x14ac:dyDescent="0.25">
      <c r="A21" s="28">
        <v>16</v>
      </c>
      <c r="B21" s="175"/>
      <c r="C21" s="17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180"/>
      <c r="U21" s="158">
        <f t="shared" si="0"/>
        <v>0</v>
      </c>
      <c r="V21" s="35">
        <f t="shared" si="1"/>
        <v>0</v>
      </c>
      <c r="W21" s="216">
        <f t="shared" si="3"/>
        <v>0</v>
      </c>
      <c r="X21" s="161"/>
      <c r="Y21" s="162" t="str">
        <f t="shared" si="2"/>
        <v/>
      </c>
      <c r="Z21" s="172"/>
      <c r="AA21" s="202"/>
      <c r="AB21" s="168" t="s">
        <v>59</v>
      </c>
    </row>
    <row r="22" spans="1:28" x14ac:dyDescent="0.25">
      <c r="A22" s="28">
        <v>17</v>
      </c>
      <c r="B22" s="175"/>
      <c r="C22" s="17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180"/>
      <c r="U22" s="158">
        <f t="shared" si="0"/>
        <v>0</v>
      </c>
      <c r="V22" s="35">
        <f t="shared" si="1"/>
        <v>0</v>
      </c>
      <c r="W22" s="216">
        <f t="shared" si="3"/>
        <v>0</v>
      </c>
      <c r="X22" s="161"/>
      <c r="Y22" s="162" t="str">
        <f t="shared" si="2"/>
        <v/>
      </c>
      <c r="Z22" s="172"/>
      <c r="AA22" s="202"/>
      <c r="AB22" s="168" t="s">
        <v>59</v>
      </c>
    </row>
    <row r="23" spans="1:28" x14ac:dyDescent="0.25">
      <c r="A23" s="28">
        <v>18</v>
      </c>
      <c r="B23" s="175"/>
      <c r="C23" s="17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180"/>
      <c r="U23" s="158">
        <f>SUMPRODUCT($C$5:$T$5,C23:T23)</f>
        <v>0</v>
      </c>
      <c r="V23" s="35">
        <f t="shared" si="1"/>
        <v>0</v>
      </c>
      <c r="W23" s="216">
        <f t="shared" si="3"/>
        <v>0</v>
      </c>
      <c r="X23" s="161"/>
      <c r="Y23" s="162" t="str">
        <f t="shared" si="2"/>
        <v/>
      </c>
      <c r="Z23" s="172"/>
      <c r="AA23" s="202"/>
      <c r="AB23" s="168" t="s">
        <v>59</v>
      </c>
    </row>
    <row r="24" spans="1:28" x14ac:dyDescent="0.25">
      <c r="A24" s="28">
        <v>19</v>
      </c>
      <c r="B24" s="175"/>
      <c r="C24" s="17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180"/>
      <c r="U24" s="158">
        <f t="shared" si="0"/>
        <v>0</v>
      </c>
      <c r="V24" s="35">
        <f t="shared" si="1"/>
        <v>0</v>
      </c>
      <c r="W24" s="216">
        <f>U24+V24</f>
        <v>0</v>
      </c>
      <c r="X24" s="161"/>
      <c r="Y24" s="162" t="str">
        <f t="shared" si="2"/>
        <v/>
      </c>
      <c r="Z24" s="172"/>
      <c r="AA24" s="202"/>
      <c r="AB24" s="168" t="s">
        <v>59</v>
      </c>
    </row>
    <row r="25" spans="1:28" x14ac:dyDescent="0.25">
      <c r="A25" s="28">
        <v>20</v>
      </c>
      <c r="B25" s="175"/>
      <c r="C25" s="17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180"/>
      <c r="U25" s="158">
        <f t="shared" si="0"/>
        <v>0</v>
      </c>
      <c r="V25" s="35">
        <f t="shared" si="1"/>
        <v>0</v>
      </c>
      <c r="W25" s="216">
        <f t="shared" si="3"/>
        <v>0</v>
      </c>
      <c r="X25" s="161"/>
      <c r="Y25" s="162" t="str">
        <f t="shared" si="2"/>
        <v/>
      </c>
      <c r="Z25" s="172"/>
      <c r="AA25" s="202"/>
      <c r="AB25" s="168" t="s">
        <v>59</v>
      </c>
    </row>
    <row r="26" spans="1:28" x14ac:dyDescent="0.25">
      <c r="A26" s="28">
        <v>21</v>
      </c>
      <c r="B26" s="175"/>
      <c r="C26" s="17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180"/>
      <c r="U26" s="158">
        <f t="shared" si="0"/>
        <v>0</v>
      </c>
      <c r="V26" s="35">
        <f t="shared" si="1"/>
        <v>0</v>
      </c>
      <c r="W26" s="216">
        <f t="shared" si="3"/>
        <v>0</v>
      </c>
      <c r="X26" s="161"/>
      <c r="Y26" s="162" t="str">
        <f t="shared" si="2"/>
        <v/>
      </c>
      <c r="Z26" s="172"/>
      <c r="AA26" s="202"/>
      <c r="AB26" s="168" t="s">
        <v>59</v>
      </c>
    </row>
    <row r="27" spans="1:28" x14ac:dyDescent="0.25">
      <c r="A27" s="28">
        <v>22</v>
      </c>
      <c r="B27" s="175"/>
      <c r="C27" s="17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180"/>
      <c r="U27" s="158">
        <f t="shared" si="0"/>
        <v>0</v>
      </c>
      <c r="V27" s="35">
        <f t="shared" si="1"/>
        <v>0</v>
      </c>
      <c r="W27" s="216">
        <f t="shared" si="3"/>
        <v>0</v>
      </c>
      <c r="X27" s="161"/>
      <c r="Y27" s="162" t="str">
        <f t="shared" si="2"/>
        <v/>
      </c>
      <c r="Z27" s="172"/>
      <c r="AA27" s="202"/>
      <c r="AB27" s="168" t="s">
        <v>59</v>
      </c>
    </row>
    <row r="28" spans="1:28" ht="15.75" thickBot="1" x14ac:dyDescent="0.3">
      <c r="A28" s="28">
        <v>23</v>
      </c>
      <c r="B28" s="175"/>
      <c r="C28" s="181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3"/>
      <c r="U28" s="159">
        <f t="shared" si="0"/>
        <v>0</v>
      </c>
      <c r="V28" s="160">
        <f t="shared" si="1"/>
        <v>0</v>
      </c>
      <c r="W28" s="217">
        <f t="shared" si="3"/>
        <v>0</v>
      </c>
      <c r="X28" s="163"/>
      <c r="Y28" s="164" t="str">
        <f t="shared" si="2"/>
        <v/>
      </c>
      <c r="Z28" s="173"/>
      <c r="AA28" s="203"/>
      <c r="AB28" s="170" t="s">
        <v>59</v>
      </c>
    </row>
    <row r="30" spans="1:28" x14ac:dyDescent="0.25">
      <c r="W30" s="6">
        <f>SUM(W6:W28)</f>
        <v>0</v>
      </c>
    </row>
    <row r="31" spans="1:28" ht="14.45" customHeight="1" x14ac:dyDescent="0.25"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</row>
    <row r="32" spans="1:28" ht="14.45" customHeight="1" x14ac:dyDescent="0.25">
      <c r="F32" s="154"/>
      <c r="G32" s="154"/>
      <c r="H32" s="154"/>
      <c r="I32" s="154"/>
      <c r="J32" s="154"/>
      <c r="K32" s="154"/>
      <c r="L32" s="154"/>
      <c r="M32" s="154"/>
      <c r="N32" s="154"/>
      <c r="O32" s="154"/>
      <c r="P32" s="154"/>
      <c r="Q32" s="154"/>
      <c r="R32" s="154"/>
    </row>
    <row r="33" spans="6:18" ht="14.45" customHeight="1" x14ac:dyDescent="0.25"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4"/>
      <c r="Q33" s="154"/>
      <c r="R33" s="154"/>
    </row>
    <row r="34" spans="6:18" ht="14.45" customHeight="1" x14ac:dyDescent="0.25">
      <c r="F34" s="154"/>
      <c r="G34" s="154"/>
      <c r="H34" s="154"/>
      <c r="I34" s="154"/>
      <c r="J34" s="154"/>
      <c r="K34" s="154"/>
      <c r="L34" s="154"/>
      <c r="M34" s="154"/>
      <c r="N34" s="154"/>
      <c r="O34" s="154"/>
      <c r="P34" s="154"/>
      <c r="Q34" s="154"/>
      <c r="R34" s="154"/>
    </row>
    <row r="35" spans="6:18" ht="14.45" customHeight="1" x14ac:dyDescent="0.25"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</row>
    <row r="36" spans="6:18" ht="14.45" customHeight="1" x14ac:dyDescent="0.25"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54"/>
      <c r="R36" s="154"/>
    </row>
    <row r="37" spans="6:18" ht="14.45" customHeight="1" x14ac:dyDescent="0.25"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54"/>
      <c r="R37" s="154"/>
    </row>
    <row r="38" spans="6:18" ht="14.45" customHeight="1" x14ac:dyDescent="0.25"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54"/>
      <c r="R38" s="154"/>
    </row>
    <row r="39" spans="6:18" ht="14.45" customHeight="1" x14ac:dyDescent="0.25"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54"/>
      <c r="R39" s="154"/>
    </row>
    <row r="40" spans="6:18" ht="14.45" customHeight="1" x14ac:dyDescent="0.25"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54"/>
      <c r="R40" s="154"/>
    </row>
    <row r="41" spans="6:18" ht="14.45" customHeight="1" x14ac:dyDescent="0.25"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54"/>
      <c r="R41" s="154"/>
    </row>
    <row r="42" spans="6:18" ht="14.45" customHeight="1" x14ac:dyDescent="0.25"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</row>
    <row r="43" spans="6:18" ht="14.45" customHeight="1" x14ac:dyDescent="0.25">
      <c r="F43" s="154"/>
      <c r="G43" s="154"/>
      <c r="H43" s="154"/>
      <c r="I43" s="154"/>
      <c r="J43" s="154"/>
      <c r="K43" s="154"/>
      <c r="L43" s="154"/>
      <c r="M43" s="154"/>
      <c r="N43" s="154"/>
      <c r="O43" s="154"/>
      <c r="P43" s="154"/>
      <c r="Q43" s="154"/>
      <c r="R43" s="154"/>
    </row>
  </sheetData>
  <sheetProtection formatCells="0" formatColumns="0" formatRows="0" insertColumns="0" insertRows="0" insertHyperlinks="0" deleteColumns="0" deleteRows="0" sort="0"/>
  <mergeCells count="14">
    <mergeCell ref="F31:R43"/>
    <mergeCell ref="X4:X5"/>
    <mergeCell ref="C1:AB2"/>
    <mergeCell ref="U3:W3"/>
    <mergeCell ref="X3:Y3"/>
    <mergeCell ref="Z3:Z5"/>
    <mergeCell ref="AA3:AB5"/>
    <mergeCell ref="Y4:Y5"/>
    <mergeCell ref="C3:P3"/>
    <mergeCell ref="A4:A5"/>
    <mergeCell ref="B4:B5"/>
    <mergeCell ref="U4:U5"/>
    <mergeCell ref="V4:V5"/>
    <mergeCell ref="W4:W5"/>
  </mergeCells>
  <conditionalFormatting sqref="U6:X28">
    <cfRule type="cellIs" dxfId="23" priority="10" operator="greaterThan">
      <formula>0</formula>
    </cfRule>
  </conditionalFormatting>
  <conditionalFormatting sqref="AA6">
    <cfRule type="expression" dxfId="22" priority="8">
      <formula>AND(AB6="Si",W6&lt;&gt;0)</formula>
    </cfRule>
    <cfRule type="expression" dxfId="21" priority="9">
      <formula>AND(AB6="No",W6&lt;&gt;0)</formula>
    </cfRule>
  </conditionalFormatting>
  <conditionalFormatting sqref="AA8:AA28">
    <cfRule type="expression" dxfId="20" priority="7">
      <formula>AND(AB8="Si",W8&lt;&gt;0)</formula>
    </cfRule>
  </conditionalFormatting>
  <conditionalFormatting sqref="C6:T28">
    <cfRule type="expression" dxfId="19" priority="6">
      <formula>C6&gt;0</formula>
    </cfRule>
  </conditionalFormatting>
  <conditionalFormatting sqref="Y6:Y28">
    <cfRule type="cellIs" dxfId="18" priority="4" operator="lessThan">
      <formula>0</formula>
    </cfRule>
    <cfRule type="cellIs" dxfId="17" priority="5" operator="greaterThan">
      <formula>-1</formula>
    </cfRule>
  </conditionalFormatting>
  <conditionalFormatting sqref="Y6:Y28">
    <cfRule type="cellIs" priority="3" stopIfTrue="1" operator="equal">
      <formula>""</formula>
    </cfRule>
  </conditionalFormatting>
  <conditionalFormatting sqref="AA6:AA28">
    <cfRule type="expression" dxfId="16" priority="1">
      <formula>AND(AB6="Si",W6&lt;&gt;0)</formula>
    </cfRule>
    <cfRule type="expression" dxfId="15" priority="2">
      <formula>AND(AB6="No",W6&lt;&gt;0)</formula>
    </cfRule>
  </conditionalFormatting>
  <dataValidations count="2">
    <dataValidation type="list" showDropDown="1" showInputMessage="1" showErrorMessage="1" sqref="AA6 AA8:AA28" xr:uid="{AC125C54-E4E9-4C4D-87B8-F3E7F2842037}">
      <formula1>"NO,SI"</formula1>
    </dataValidation>
    <dataValidation type="list" showInputMessage="1" showErrorMessage="1" sqref="AB6:AB28" xr:uid="{D2DCA9D8-3F94-4B3B-91C2-388616CBD205}">
      <formula1>"NO,SI"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liminar_Todo_GORDITAS_EL_MOLINO">
                <anchor moveWithCells="1" sizeWithCells="1">
                  <from>
                    <xdr:col>29</xdr:col>
                    <xdr:colOff>28575</xdr:colOff>
                    <xdr:row>10</xdr:row>
                    <xdr:rowOff>171450</xdr:rowOff>
                  </from>
                  <to>
                    <xdr:col>29</xdr:col>
                    <xdr:colOff>1314450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Tacos_EL_Chango">
                <anchor moveWithCells="1" sizeWithCells="1">
                  <from>
                    <xdr:col>29</xdr:col>
                    <xdr:colOff>66675</xdr:colOff>
                    <xdr:row>14</xdr:row>
                    <xdr:rowOff>28575</xdr:rowOff>
                  </from>
                  <to>
                    <xdr:col>29</xdr:col>
                    <xdr:colOff>1343025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5FA3C-752E-4CAC-8FF8-995748F7D979}">
  <sheetPr codeName="Hoja2">
    <tabColor rgb="FF00B050"/>
  </sheetPr>
  <dimension ref="A1:Y47"/>
  <sheetViews>
    <sheetView showGridLines="0" topLeftCell="A19" workbookViewId="0">
      <pane xSplit="2" topLeftCell="C1" activePane="topRight" state="frozen"/>
      <selection pane="topRight" activeCell="H10" sqref="H10"/>
    </sheetView>
  </sheetViews>
  <sheetFormatPr baseColWidth="10" defaultRowHeight="15" x14ac:dyDescent="0.25"/>
  <cols>
    <col min="1" max="1" width="4.28515625" customWidth="1"/>
    <col min="2" max="2" width="18.5703125" customWidth="1"/>
    <col min="3" max="3" width="6.5703125" bestFit="1" customWidth="1"/>
    <col min="4" max="4" width="10.7109375" bestFit="1" customWidth="1"/>
    <col min="5" max="5" width="16.7109375" bestFit="1" customWidth="1"/>
    <col min="6" max="6" width="14.85546875" bestFit="1" customWidth="1"/>
    <col min="7" max="7" width="20.85546875" bestFit="1" customWidth="1"/>
    <col min="8" max="8" width="19" bestFit="1" customWidth="1"/>
    <col min="9" max="9" width="7" bestFit="1" customWidth="1"/>
    <col min="10" max="10" width="7.85546875" bestFit="1" customWidth="1"/>
    <col min="11" max="11" width="12.7109375" bestFit="1" customWidth="1"/>
    <col min="12" max="12" width="13.5703125" bestFit="1" customWidth="1"/>
    <col min="13" max="13" width="17.28515625" bestFit="1" customWidth="1"/>
    <col min="14" max="14" width="9.140625" bestFit="1" customWidth="1"/>
    <col min="15" max="15" width="10.5703125" bestFit="1" customWidth="1"/>
    <col min="16" max="16" width="7.5703125" bestFit="1" customWidth="1"/>
    <col min="17" max="17" width="7.5703125" customWidth="1"/>
    <col min="18" max="18" width="10.7109375" customWidth="1"/>
    <col min="19" max="19" width="22" bestFit="1" customWidth="1"/>
    <col min="20" max="20" width="4.5703125" customWidth="1"/>
    <col min="21" max="21" width="5" customWidth="1"/>
    <col min="22" max="22" width="2.42578125" customWidth="1"/>
    <col min="23" max="23" width="20.5703125" bestFit="1" customWidth="1"/>
  </cols>
  <sheetData>
    <row r="1" spans="1:25" ht="26.45" customHeight="1" x14ac:dyDescent="0.25">
      <c r="A1" s="42"/>
      <c r="B1" s="43"/>
      <c r="C1" s="135" t="s">
        <v>74</v>
      </c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7"/>
    </row>
    <row r="2" spans="1:25" ht="20.45" customHeight="1" thickBot="1" x14ac:dyDescent="0.3">
      <c r="A2" s="44"/>
      <c r="B2" s="45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9"/>
    </row>
    <row r="3" spans="1:25" ht="29.45" customHeight="1" x14ac:dyDescent="0.25">
      <c r="A3" s="140" t="s">
        <v>3</v>
      </c>
      <c r="B3" s="141" t="s">
        <v>1</v>
      </c>
      <c r="C3" s="38" t="s">
        <v>62</v>
      </c>
      <c r="D3" s="38" t="s">
        <v>63</v>
      </c>
      <c r="E3" s="38" t="s">
        <v>64</v>
      </c>
      <c r="F3" s="38" t="s">
        <v>65</v>
      </c>
      <c r="G3" s="38" t="s">
        <v>66</v>
      </c>
      <c r="H3" s="38" t="s">
        <v>67</v>
      </c>
      <c r="I3" s="38" t="s">
        <v>68</v>
      </c>
      <c r="J3" s="38" t="s">
        <v>69</v>
      </c>
      <c r="K3" s="38" t="s">
        <v>70</v>
      </c>
      <c r="L3" s="38" t="s">
        <v>71</v>
      </c>
      <c r="M3" s="38" t="s">
        <v>72</v>
      </c>
      <c r="N3" s="99" t="s">
        <v>55</v>
      </c>
      <c r="O3" s="99" t="s">
        <v>56</v>
      </c>
      <c r="P3" s="141" t="s">
        <v>0</v>
      </c>
      <c r="Q3" s="99" t="s">
        <v>86</v>
      </c>
      <c r="R3" s="144" t="s">
        <v>87</v>
      </c>
      <c r="S3" s="99" t="s">
        <v>75</v>
      </c>
      <c r="T3" s="142" t="s">
        <v>58</v>
      </c>
      <c r="U3" s="143"/>
      <c r="W3" s="60" t="s">
        <v>73</v>
      </c>
      <c r="X3" s="63">
        <f>SUM(N5:N27)</f>
        <v>0</v>
      </c>
    </row>
    <row r="4" spans="1:25" ht="15.6" customHeight="1" thickBot="1" x14ac:dyDescent="0.3">
      <c r="A4" s="141"/>
      <c r="B4" s="99"/>
      <c r="C4" s="226">
        <v>12</v>
      </c>
      <c r="D4" s="226">
        <v>20</v>
      </c>
      <c r="E4" s="226">
        <v>28</v>
      </c>
      <c r="F4" s="226">
        <v>23</v>
      </c>
      <c r="G4" s="226">
        <v>23</v>
      </c>
      <c r="H4" s="226">
        <v>12</v>
      </c>
      <c r="I4" s="226">
        <v>25</v>
      </c>
      <c r="J4" s="226">
        <v>18</v>
      </c>
      <c r="K4" s="226">
        <v>30</v>
      </c>
      <c r="L4" s="226">
        <v>37</v>
      </c>
      <c r="M4" s="226">
        <v>20</v>
      </c>
      <c r="N4" s="140"/>
      <c r="O4" s="140"/>
      <c r="P4" s="99"/>
      <c r="Q4" s="140"/>
      <c r="R4" s="140"/>
      <c r="S4" s="140"/>
      <c r="T4" s="222"/>
      <c r="U4" s="223"/>
      <c r="W4" s="61" t="s">
        <v>56</v>
      </c>
      <c r="X4" s="59">
        <v>150</v>
      </c>
      <c r="Y4" t="s">
        <v>90</v>
      </c>
    </row>
    <row r="5" spans="1:25" ht="15.75" thickBot="1" x14ac:dyDescent="0.3">
      <c r="A5" s="175">
        <v>1</v>
      </c>
      <c r="B5" s="186" t="s">
        <v>2</v>
      </c>
      <c r="C5" s="176"/>
      <c r="D5" s="177"/>
      <c r="E5" s="177"/>
      <c r="F5" s="177"/>
      <c r="G5" s="177"/>
      <c r="H5" s="177"/>
      <c r="I5" s="177"/>
      <c r="J5" s="177"/>
      <c r="K5" s="177"/>
      <c r="L5" s="177"/>
      <c r="M5" s="178"/>
      <c r="N5" s="155">
        <f>SUMPRODUCT($C$4:$M$4,C5:M5)</f>
        <v>0</v>
      </c>
      <c r="O5" s="204">
        <f>IF(COUNTIF(C5:M5,"&gt;0")&gt;0,$X$8,0)</f>
        <v>0</v>
      </c>
      <c r="P5" s="215">
        <f>N5+O5</f>
        <v>0</v>
      </c>
      <c r="Q5" s="155"/>
      <c r="R5" s="157" t="str">
        <f>IF(P5=0,"",Q5-P5)</f>
        <v/>
      </c>
      <c r="S5" s="171"/>
      <c r="T5" s="165"/>
      <c r="U5" s="166" t="s">
        <v>59</v>
      </c>
      <c r="W5" s="62" t="s">
        <v>0</v>
      </c>
      <c r="X5" s="64">
        <f>SUM(X3:X4)</f>
        <v>150</v>
      </c>
    </row>
    <row r="6" spans="1:25" ht="15.75" thickBot="1" x14ac:dyDescent="0.3">
      <c r="A6" s="175">
        <v>2</v>
      </c>
      <c r="B6" s="187" t="s">
        <v>6</v>
      </c>
      <c r="C6" s="194"/>
      <c r="D6" s="36"/>
      <c r="E6" s="36"/>
      <c r="F6" s="36"/>
      <c r="G6" s="36"/>
      <c r="H6" s="36"/>
      <c r="I6" s="36"/>
      <c r="J6" s="36"/>
      <c r="K6" s="36"/>
      <c r="L6" s="36"/>
      <c r="M6" s="227"/>
      <c r="N6" s="158">
        <f t="shared" ref="N6:N27" si="0">SUMPRODUCT($C$4:$M$4,C6:M6)</f>
        <v>0</v>
      </c>
      <c r="O6" s="1">
        <f t="shared" ref="O6:O27" si="1">IF(COUNTIF(C6:M6,"&gt;0")&gt;0,$X$8,0)</f>
        <v>0</v>
      </c>
      <c r="P6" s="216">
        <f t="shared" ref="P6:P27" si="2">N6+O6</f>
        <v>0</v>
      </c>
      <c r="Q6" s="158"/>
      <c r="R6" s="162" t="str">
        <f t="shared" ref="R6:R27" si="3">IF(P6=0,"",Q6-P6)</f>
        <v/>
      </c>
      <c r="S6" s="172"/>
      <c r="T6" s="167"/>
      <c r="U6" s="224" t="s">
        <v>59</v>
      </c>
    </row>
    <row r="7" spans="1:25" x14ac:dyDescent="0.25">
      <c r="A7" s="175">
        <v>3</v>
      </c>
      <c r="B7" s="187" t="s">
        <v>7</v>
      </c>
      <c r="C7" s="194"/>
      <c r="D7" s="36"/>
      <c r="E7" s="36"/>
      <c r="F7" s="36"/>
      <c r="G7" s="36"/>
      <c r="H7" s="36"/>
      <c r="I7" s="36"/>
      <c r="J7" s="36"/>
      <c r="K7" s="36"/>
      <c r="L7" s="36"/>
      <c r="M7" s="227"/>
      <c r="N7" s="158">
        <f t="shared" si="0"/>
        <v>0</v>
      </c>
      <c r="O7" s="1">
        <f t="shared" si="1"/>
        <v>0</v>
      </c>
      <c r="P7" s="216">
        <f t="shared" si="2"/>
        <v>0</v>
      </c>
      <c r="Q7" s="158"/>
      <c r="R7" s="162" t="str">
        <f t="shared" si="3"/>
        <v/>
      </c>
      <c r="S7" s="172"/>
      <c r="T7" s="167"/>
      <c r="U7" s="224" t="s">
        <v>59</v>
      </c>
      <c r="W7" s="2" t="s">
        <v>4</v>
      </c>
      <c r="X7" s="3">
        <f>COUNTIF(N5:N27,"&gt;0")</f>
        <v>0</v>
      </c>
    </row>
    <row r="8" spans="1:25" ht="15.75" thickBot="1" x14ac:dyDescent="0.3">
      <c r="A8" s="175">
        <v>4</v>
      </c>
      <c r="B8" s="187" t="s">
        <v>8</v>
      </c>
      <c r="C8" s="194"/>
      <c r="D8" s="36"/>
      <c r="E8" s="36"/>
      <c r="F8" s="36"/>
      <c r="G8" s="36"/>
      <c r="H8" s="36"/>
      <c r="I8" s="36"/>
      <c r="J8" s="36"/>
      <c r="K8" s="36"/>
      <c r="L8" s="36"/>
      <c r="M8" s="227"/>
      <c r="N8" s="158">
        <f>SUMPRODUCT($C$4:$M$4,C8:M8)</f>
        <v>0</v>
      </c>
      <c r="O8" s="1">
        <f t="shared" si="1"/>
        <v>0</v>
      </c>
      <c r="P8" s="216">
        <f t="shared" si="2"/>
        <v>0</v>
      </c>
      <c r="Q8" s="158"/>
      <c r="R8" s="162" t="str">
        <f t="shared" si="3"/>
        <v/>
      </c>
      <c r="S8" s="172"/>
      <c r="T8" s="167"/>
      <c r="U8" s="224" t="s">
        <v>59</v>
      </c>
      <c r="W8" s="4" t="s">
        <v>5</v>
      </c>
      <c r="X8" s="5">
        <f>IF(X7=0,0,X4/X7)</f>
        <v>0</v>
      </c>
    </row>
    <row r="9" spans="1:25" x14ac:dyDescent="0.25">
      <c r="A9" s="175">
        <v>5</v>
      </c>
      <c r="B9" s="187" t="s">
        <v>9</v>
      </c>
      <c r="C9" s="194"/>
      <c r="D9" s="36"/>
      <c r="E9" s="36"/>
      <c r="F9" s="36"/>
      <c r="G9" s="36"/>
      <c r="H9" s="36"/>
      <c r="I9" s="36"/>
      <c r="J9" s="36"/>
      <c r="K9" s="36"/>
      <c r="L9" s="36"/>
      <c r="M9" s="227"/>
      <c r="N9" s="158">
        <f t="shared" si="0"/>
        <v>0</v>
      </c>
      <c r="O9" s="1">
        <f t="shared" si="1"/>
        <v>0</v>
      </c>
      <c r="P9" s="216">
        <f t="shared" si="2"/>
        <v>0</v>
      </c>
      <c r="Q9" s="158"/>
      <c r="R9" s="162" t="str">
        <f t="shared" si="3"/>
        <v/>
      </c>
      <c r="S9" s="172"/>
      <c r="T9" s="167"/>
      <c r="U9" s="224" t="s">
        <v>59</v>
      </c>
    </row>
    <row r="10" spans="1:25" x14ac:dyDescent="0.25">
      <c r="A10" s="175">
        <v>6</v>
      </c>
      <c r="B10" s="187" t="s">
        <v>10</v>
      </c>
      <c r="C10" s="194"/>
      <c r="D10" s="36"/>
      <c r="E10" s="36"/>
      <c r="F10" s="36"/>
      <c r="G10" s="36"/>
      <c r="H10" s="36"/>
      <c r="I10" s="36"/>
      <c r="J10" s="36"/>
      <c r="K10" s="36"/>
      <c r="L10" s="36"/>
      <c r="M10" s="227"/>
      <c r="N10" s="158">
        <f t="shared" si="0"/>
        <v>0</v>
      </c>
      <c r="O10" s="1">
        <f>IF(COUNTIF(C10:M10,"&gt;0")&gt;0,$X$8,0)</f>
        <v>0</v>
      </c>
      <c r="P10" s="216">
        <f t="shared" si="2"/>
        <v>0</v>
      </c>
      <c r="Q10" s="158"/>
      <c r="R10" s="162" t="str">
        <f t="shared" si="3"/>
        <v/>
      </c>
      <c r="S10" s="172"/>
      <c r="T10" s="167"/>
      <c r="U10" s="224" t="s">
        <v>59</v>
      </c>
    </row>
    <row r="11" spans="1:25" x14ac:dyDescent="0.25">
      <c r="A11" s="175">
        <v>7</v>
      </c>
      <c r="B11" s="187" t="s">
        <v>11</v>
      </c>
      <c r="C11" s="194"/>
      <c r="D11" s="36"/>
      <c r="E11" s="36"/>
      <c r="F11" s="36"/>
      <c r="G11" s="36"/>
      <c r="H11" s="36"/>
      <c r="I11" s="36"/>
      <c r="J11" s="36"/>
      <c r="K11" s="36"/>
      <c r="L11" s="36"/>
      <c r="M11" s="227"/>
      <c r="N11" s="158">
        <f t="shared" si="0"/>
        <v>0</v>
      </c>
      <c r="O11" s="1">
        <f t="shared" si="1"/>
        <v>0</v>
      </c>
      <c r="P11" s="216">
        <f t="shared" si="2"/>
        <v>0</v>
      </c>
      <c r="Q11" s="158"/>
      <c r="R11" s="162" t="str">
        <f t="shared" si="3"/>
        <v/>
      </c>
      <c r="S11" s="172"/>
      <c r="T11" s="167"/>
      <c r="U11" s="224" t="s">
        <v>59</v>
      </c>
    </row>
    <row r="12" spans="1:25" x14ac:dyDescent="0.25">
      <c r="A12" s="175">
        <v>8</v>
      </c>
      <c r="B12" s="187" t="s">
        <v>12</v>
      </c>
      <c r="C12" s="194"/>
      <c r="D12" s="36"/>
      <c r="E12" s="36"/>
      <c r="F12" s="36"/>
      <c r="G12" s="36"/>
      <c r="H12" s="36"/>
      <c r="I12" s="36"/>
      <c r="J12" s="36"/>
      <c r="K12" s="36"/>
      <c r="L12" s="36"/>
      <c r="M12" s="227"/>
      <c r="N12" s="158">
        <f t="shared" si="0"/>
        <v>0</v>
      </c>
      <c r="O12" s="1">
        <f t="shared" si="1"/>
        <v>0</v>
      </c>
      <c r="P12" s="216">
        <f t="shared" si="2"/>
        <v>0</v>
      </c>
      <c r="Q12" s="158"/>
      <c r="R12" s="162" t="str">
        <f t="shared" si="3"/>
        <v/>
      </c>
      <c r="S12" s="172"/>
      <c r="T12" s="167"/>
      <c r="U12" s="224" t="s">
        <v>59</v>
      </c>
    </row>
    <row r="13" spans="1:25" x14ac:dyDescent="0.25">
      <c r="A13" s="175">
        <v>9</v>
      </c>
      <c r="B13" s="187" t="s">
        <v>13</v>
      </c>
      <c r="C13" s="194"/>
      <c r="D13" s="36"/>
      <c r="E13" s="36"/>
      <c r="F13" s="36"/>
      <c r="G13" s="36"/>
      <c r="H13" s="36"/>
      <c r="I13" s="36"/>
      <c r="J13" s="36"/>
      <c r="K13" s="36"/>
      <c r="L13" s="36"/>
      <c r="M13" s="227"/>
      <c r="N13" s="158">
        <f t="shared" si="0"/>
        <v>0</v>
      </c>
      <c r="O13" s="1">
        <f t="shared" si="1"/>
        <v>0</v>
      </c>
      <c r="P13" s="216">
        <f t="shared" si="2"/>
        <v>0</v>
      </c>
      <c r="Q13" s="158"/>
      <c r="R13" s="162" t="str">
        <f t="shared" si="3"/>
        <v/>
      </c>
      <c r="S13" s="172"/>
      <c r="T13" s="167"/>
      <c r="U13" s="224" t="s">
        <v>59</v>
      </c>
    </row>
    <row r="14" spans="1:25" x14ac:dyDescent="0.25">
      <c r="A14" s="175">
        <v>10</v>
      </c>
      <c r="B14" s="187" t="s">
        <v>14</v>
      </c>
      <c r="C14" s="194"/>
      <c r="D14" s="36"/>
      <c r="E14" s="36"/>
      <c r="F14" s="36"/>
      <c r="G14" s="36"/>
      <c r="H14" s="36"/>
      <c r="I14" s="36"/>
      <c r="J14" s="36"/>
      <c r="K14" s="36"/>
      <c r="L14" s="36"/>
      <c r="M14" s="227"/>
      <c r="N14" s="158">
        <f t="shared" si="0"/>
        <v>0</v>
      </c>
      <c r="O14" s="1">
        <f t="shared" si="1"/>
        <v>0</v>
      </c>
      <c r="P14" s="216">
        <f t="shared" si="2"/>
        <v>0</v>
      </c>
      <c r="Q14" s="158"/>
      <c r="R14" s="162" t="str">
        <f t="shared" si="3"/>
        <v/>
      </c>
      <c r="S14" s="172"/>
      <c r="T14" s="167"/>
      <c r="U14" s="224" t="s">
        <v>59</v>
      </c>
    </row>
    <row r="15" spans="1:25" x14ac:dyDescent="0.25">
      <c r="A15" s="175">
        <v>11</v>
      </c>
      <c r="B15" s="187"/>
      <c r="C15" s="194"/>
      <c r="D15" s="36"/>
      <c r="E15" s="36"/>
      <c r="F15" s="70"/>
      <c r="G15" s="36"/>
      <c r="H15" s="36"/>
      <c r="I15" s="36"/>
      <c r="J15" s="36"/>
      <c r="K15" s="36"/>
      <c r="L15" s="36"/>
      <c r="M15" s="227"/>
      <c r="N15" s="158">
        <f t="shared" si="0"/>
        <v>0</v>
      </c>
      <c r="O15" s="1">
        <f t="shared" si="1"/>
        <v>0</v>
      </c>
      <c r="P15" s="216">
        <f t="shared" si="2"/>
        <v>0</v>
      </c>
      <c r="Q15" s="158"/>
      <c r="R15" s="162" t="str">
        <f t="shared" si="3"/>
        <v/>
      </c>
      <c r="S15" s="172"/>
      <c r="T15" s="167"/>
      <c r="U15" s="224" t="s">
        <v>59</v>
      </c>
    </row>
    <row r="16" spans="1:25" x14ac:dyDescent="0.25">
      <c r="A16" s="175">
        <v>12</v>
      </c>
      <c r="B16" s="187"/>
      <c r="C16" s="194"/>
      <c r="D16" s="36"/>
      <c r="E16" s="36"/>
      <c r="F16" s="36"/>
      <c r="G16" s="36"/>
      <c r="H16" s="36"/>
      <c r="I16" s="36"/>
      <c r="J16" s="36"/>
      <c r="K16" s="36"/>
      <c r="L16" s="36"/>
      <c r="M16" s="227"/>
      <c r="N16" s="158">
        <f t="shared" si="0"/>
        <v>0</v>
      </c>
      <c r="O16" s="1">
        <f t="shared" si="1"/>
        <v>0</v>
      </c>
      <c r="P16" s="216">
        <f t="shared" si="2"/>
        <v>0</v>
      </c>
      <c r="Q16" s="158"/>
      <c r="R16" s="162" t="str">
        <f t="shared" si="3"/>
        <v/>
      </c>
      <c r="S16" s="172"/>
      <c r="T16" s="167"/>
      <c r="U16" s="224" t="s">
        <v>59</v>
      </c>
    </row>
    <row r="17" spans="1:21" x14ac:dyDescent="0.25">
      <c r="A17" s="175">
        <v>13</v>
      </c>
      <c r="B17" s="187"/>
      <c r="C17" s="194"/>
      <c r="D17" s="36"/>
      <c r="E17" s="36"/>
      <c r="F17" s="36"/>
      <c r="G17" s="36"/>
      <c r="H17" s="36"/>
      <c r="I17" s="36"/>
      <c r="J17" s="36"/>
      <c r="K17" s="36"/>
      <c r="L17" s="36"/>
      <c r="M17" s="227"/>
      <c r="N17" s="158">
        <f t="shared" si="0"/>
        <v>0</v>
      </c>
      <c r="O17" s="1">
        <f t="shared" si="1"/>
        <v>0</v>
      </c>
      <c r="P17" s="216">
        <f t="shared" si="2"/>
        <v>0</v>
      </c>
      <c r="Q17" s="158"/>
      <c r="R17" s="162" t="str">
        <f t="shared" si="3"/>
        <v/>
      </c>
      <c r="S17" s="172"/>
      <c r="T17" s="167"/>
      <c r="U17" s="224" t="s">
        <v>59</v>
      </c>
    </row>
    <row r="18" spans="1:21" x14ac:dyDescent="0.25">
      <c r="A18" s="175">
        <v>14</v>
      </c>
      <c r="B18" s="187"/>
      <c r="C18" s="194"/>
      <c r="D18" s="36"/>
      <c r="E18" s="36"/>
      <c r="F18" s="36"/>
      <c r="G18" s="36"/>
      <c r="H18" s="36"/>
      <c r="I18" s="36"/>
      <c r="J18" s="36"/>
      <c r="K18" s="36"/>
      <c r="L18" s="36"/>
      <c r="M18" s="227"/>
      <c r="N18" s="158">
        <f t="shared" si="0"/>
        <v>0</v>
      </c>
      <c r="O18" s="1">
        <f t="shared" si="1"/>
        <v>0</v>
      </c>
      <c r="P18" s="216">
        <f t="shared" si="2"/>
        <v>0</v>
      </c>
      <c r="Q18" s="158"/>
      <c r="R18" s="162" t="str">
        <f t="shared" si="3"/>
        <v/>
      </c>
      <c r="S18" s="172"/>
      <c r="T18" s="167"/>
      <c r="U18" s="224" t="s">
        <v>59</v>
      </c>
    </row>
    <row r="19" spans="1:21" x14ac:dyDescent="0.25">
      <c r="A19" s="175">
        <v>15</v>
      </c>
      <c r="B19" s="187"/>
      <c r="C19" s="194"/>
      <c r="D19" s="36"/>
      <c r="E19" s="36"/>
      <c r="F19" s="36"/>
      <c r="G19" s="36"/>
      <c r="H19" s="36"/>
      <c r="I19" s="36"/>
      <c r="J19" s="36"/>
      <c r="K19" s="36"/>
      <c r="L19" s="36"/>
      <c r="M19" s="227"/>
      <c r="N19" s="158">
        <f t="shared" si="0"/>
        <v>0</v>
      </c>
      <c r="O19" s="1">
        <f t="shared" si="1"/>
        <v>0</v>
      </c>
      <c r="P19" s="216">
        <f t="shared" si="2"/>
        <v>0</v>
      </c>
      <c r="Q19" s="158"/>
      <c r="R19" s="162" t="str">
        <f t="shared" si="3"/>
        <v/>
      </c>
      <c r="S19" s="172"/>
      <c r="T19" s="167"/>
      <c r="U19" s="224" t="s">
        <v>59</v>
      </c>
    </row>
    <row r="20" spans="1:21" x14ac:dyDescent="0.25">
      <c r="A20" s="175">
        <v>16</v>
      </c>
      <c r="B20" s="187"/>
      <c r="C20" s="194"/>
      <c r="D20" s="36"/>
      <c r="E20" s="36"/>
      <c r="F20" s="36"/>
      <c r="G20" s="36"/>
      <c r="H20" s="36"/>
      <c r="I20" s="36"/>
      <c r="J20" s="36"/>
      <c r="K20" s="36"/>
      <c r="L20" s="36"/>
      <c r="M20" s="227"/>
      <c r="N20" s="158">
        <f t="shared" si="0"/>
        <v>0</v>
      </c>
      <c r="O20" s="1">
        <f t="shared" si="1"/>
        <v>0</v>
      </c>
      <c r="P20" s="216">
        <f t="shared" si="2"/>
        <v>0</v>
      </c>
      <c r="Q20" s="158"/>
      <c r="R20" s="162" t="str">
        <f t="shared" si="3"/>
        <v/>
      </c>
      <c r="S20" s="172"/>
      <c r="T20" s="167"/>
      <c r="U20" s="224" t="s">
        <v>59</v>
      </c>
    </row>
    <row r="21" spans="1:21" x14ac:dyDescent="0.25">
      <c r="A21" s="175">
        <v>17</v>
      </c>
      <c r="B21" s="187"/>
      <c r="C21" s="194"/>
      <c r="D21" s="36"/>
      <c r="E21" s="36"/>
      <c r="F21" s="36"/>
      <c r="G21" s="36"/>
      <c r="H21" s="36"/>
      <c r="I21" s="36"/>
      <c r="J21" s="36"/>
      <c r="K21" s="36"/>
      <c r="L21" s="36"/>
      <c r="M21" s="227"/>
      <c r="N21" s="158">
        <f t="shared" si="0"/>
        <v>0</v>
      </c>
      <c r="O21" s="1">
        <f t="shared" si="1"/>
        <v>0</v>
      </c>
      <c r="P21" s="216">
        <f t="shared" si="2"/>
        <v>0</v>
      </c>
      <c r="Q21" s="158"/>
      <c r="R21" s="162" t="str">
        <f t="shared" si="3"/>
        <v/>
      </c>
      <c r="S21" s="172"/>
      <c r="T21" s="167"/>
      <c r="U21" s="224" t="s">
        <v>59</v>
      </c>
    </row>
    <row r="22" spans="1:21" x14ac:dyDescent="0.25">
      <c r="A22" s="175">
        <v>18</v>
      </c>
      <c r="B22" s="187"/>
      <c r="C22" s="194"/>
      <c r="D22" s="36"/>
      <c r="E22" s="36"/>
      <c r="F22" s="36"/>
      <c r="G22" s="36"/>
      <c r="H22" s="36"/>
      <c r="I22" s="36"/>
      <c r="J22" s="36"/>
      <c r="K22" s="36"/>
      <c r="L22" s="36"/>
      <c r="M22" s="227"/>
      <c r="N22" s="158">
        <f t="shared" si="0"/>
        <v>0</v>
      </c>
      <c r="O22" s="1">
        <f t="shared" si="1"/>
        <v>0</v>
      </c>
      <c r="P22" s="216">
        <f t="shared" si="2"/>
        <v>0</v>
      </c>
      <c r="Q22" s="158"/>
      <c r="R22" s="162" t="str">
        <f t="shared" si="3"/>
        <v/>
      </c>
      <c r="S22" s="172"/>
      <c r="T22" s="167"/>
      <c r="U22" s="224" t="s">
        <v>59</v>
      </c>
    </row>
    <row r="23" spans="1:21" x14ac:dyDescent="0.25">
      <c r="A23" s="175">
        <v>19</v>
      </c>
      <c r="B23" s="187"/>
      <c r="C23" s="194"/>
      <c r="D23" s="36"/>
      <c r="E23" s="36"/>
      <c r="F23" s="36"/>
      <c r="G23" s="36"/>
      <c r="H23" s="36"/>
      <c r="I23" s="36"/>
      <c r="J23" s="36"/>
      <c r="K23" s="36"/>
      <c r="L23" s="36"/>
      <c r="M23" s="227"/>
      <c r="N23" s="158">
        <f t="shared" si="0"/>
        <v>0</v>
      </c>
      <c r="O23" s="1">
        <f t="shared" si="1"/>
        <v>0</v>
      </c>
      <c r="P23" s="216">
        <f t="shared" si="2"/>
        <v>0</v>
      </c>
      <c r="Q23" s="158"/>
      <c r="R23" s="162" t="str">
        <f t="shared" si="3"/>
        <v/>
      </c>
      <c r="S23" s="172"/>
      <c r="T23" s="167"/>
      <c r="U23" s="224" t="s">
        <v>59</v>
      </c>
    </row>
    <row r="24" spans="1:21" x14ac:dyDescent="0.25">
      <c r="A24" s="175">
        <v>20</v>
      </c>
      <c r="B24" s="187"/>
      <c r="C24" s="194"/>
      <c r="D24" s="36"/>
      <c r="E24" s="36"/>
      <c r="F24" s="36"/>
      <c r="G24" s="36"/>
      <c r="H24" s="36"/>
      <c r="I24" s="36"/>
      <c r="J24" s="36"/>
      <c r="K24" s="36"/>
      <c r="L24" s="36"/>
      <c r="M24" s="227"/>
      <c r="N24" s="158">
        <f t="shared" si="0"/>
        <v>0</v>
      </c>
      <c r="O24" s="1">
        <f t="shared" si="1"/>
        <v>0</v>
      </c>
      <c r="P24" s="216">
        <f t="shared" si="2"/>
        <v>0</v>
      </c>
      <c r="Q24" s="158"/>
      <c r="R24" s="162" t="str">
        <f t="shared" si="3"/>
        <v/>
      </c>
      <c r="S24" s="172"/>
      <c r="T24" s="167"/>
      <c r="U24" s="224" t="s">
        <v>59</v>
      </c>
    </row>
    <row r="25" spans="1:21" x14ac:dyDescent="0.25">
      <c r="A25" s="175">
        <v>21</v>
      </c>
      <c r="B25" s="187"/>
      <c r="C25" s="194"/>
      <c r="D25" s="36"/>
      <c r="E25" s="36"/>
      <c r="F25" s="36"/>
      <c r="G25" s="36"/>
      <c r="H25" s="36"/>
      <c r="I25" s="36"/>
      <c r="J25" s="36"/>
      <c r="K25" s="36"/>
      <c r="L25" s="36"/>
      <c r="M25" s="227"/>
      <c r="N25" s="158">
        <f t="shared" si="0"/>
        <v>0</v>
      </c>
      <c r="O25" s="1">
        <f t="shared" si="1"/>
        <v>0</v>
      </c>
      <c r="P25" s="216">
        <f t="shared" si="2"/>
        <v>0</v>
      </c>
      <c r="Q25" s="158"/>
      <c r="R25" s="162" t="str">
        <f t="shared" si="3"/>
        <v/>
      </c>
      <c r="S25" s="172"/>
      <c r="T25" s="167"/>
      <c r="U25" s="224" t="s">
        <v>59</v>
      </c>
    </row>
    <row r="26" spans="1:21" x14ac:dyDescent="0.25">
      <c r="A26" s="175">
        <v>22</v>
      </c>
      <c r="B26" s="187"/>
      <c r="C26" s="194"/>
      <c r="D26" s="36"/>
      <c r="E26" s="36"/>
      <c r="F26" s="36"/>
      <c r="G26" s="36"/>
      <c r="H26" s="36"/>
      <c r="I26" s="36"/>
      <c r="J26" s="36"/>
      <c r="K26" s="36"/>
      <c r="L26" s="36"/>
      <c r="M26" s="227"/>
      <c r="N26" s="158">
        <f t="shared" si="0"/>
        <v>0</v>
      </c>
      <c r="O26" s="1">
        <f t="shared" si="1"/>
        <v>0</v>
      </c>
      <c r="P26" s="216">
        <f t="shared" si="2"/>
        <v>0</v>
      </c>
      <c r="Q26" s="158"/>
      <c r="R26" s="162" t="str">
        <f t="shared" si="3"/>
        <v/>
      </c>
      <c r="S26" s="172"/>
      <c r="T26" s="167"/>
      <c r="U26" s="224" t="s">
        <v>59</v>
      </c>
    </row>
    <row r="27" spans="1:21" ht="15.75" thickBot="1" x14ac:dyDescent="0.3">
      <c r="A27" s="175">
        <v>23</v>
      </c>
      <c r="B27" s="188"/>
      <c r="C27" s="228"/>
      <c r="D27" s="229"/>
      <c r="E27" s="229"/>
      <c r="F27" s="229"/>
      <c r="G27" s="229"/>
      <c r="H27" s="229"/>
      <c r="I27" s="229"/>
      <c r="J27" s="229"/>
      <c r="K27" s="229"/>
      <c r="L27" s="229"/>
      <c r="M27" s="230"/>
      <c r="N27" s="159">
        <f t="shared" si="0"/>
        <v>0</v>
      </c>
      <c r="O27" s="205">
        <f t="shared" si="1"/>
        <v>0</v>
      </c>
      <c r="P27" s="217">
        <f t="shared" si="2"/>
        <v>0</v>
      </c>
      <c r="Q27" s="159"/>
      <c r="R27" s="164" t="str">
        <f t="shared" si="3"/>
        <v/>
      </c>
      <c r="S27" s="173"/>
      <c r="T27" s="169"/>
      <c r="U27" s="225" t="s">
        <v>59</v>
      </c>
    </row>
    <row r="29" spans="1:21" x14ac:dyDescent="0.25">
      <c r="P29" s="6">
        <f>SUM(P5:P27)</f>
        <v>0</v>
      </c>
    </row>
    <row r="31" spans="1:21" x14ac:dyDescent="0.25">
      <c r="E31" s="134" t="s">
        <v>124</v>
      </c>
      <c r="F31" s="134"/>
      <c r="G31" s="134"/>
      <c r="H31" s="134"/>
      <c r="I31" s="134"/>
      <c r="J31" s="134"/>
      <c r="K31" s="134"/>
      <c r="L31" s="134"/>
      <c r="M31" s="134"/>
    </row>
    <row r="32" spans="1:21" x14ac:dyDescent="0.25">
      <c r="E32" s="134"/>
      <c r="F32" s="134"/>
      <c r="G32" s="134"/>
      <c r="H32" s="134"/>
      <c r="I32" s="134"/>
      <c r="J32" s="134"/>
      <c r="K32" s="134"/>
      <c r="L32" s="134"/>
      <c r="M32" s="134"/>
    </row>
    <row r="33" spans="5:13" x14ac:dyDescent="0.25">
      <c r="E33" s="134"/>
      <c r="F33" s="134"/>
      <c r="G33" s="134"/>
      <c r="H33" s="134"/>
      <c r="I33" s="134"/>
      <c r="J33" s="134"/>
      <c r="K33" s="134"/>
      <c r="L33" s="134"/>
      <c r="M33" s="134"/>
    </row>
    <row r="34" spans="5:13" x14ac:dyDescent="0.25">
      <c r="E34" s="134"/>
      <c r="F34" s="134"/>
      <c r="G34" s="134"/>
      <c r="H34" s="134"/>
      <c r="I34" s="134"/>
      <c r="J34" s="134"/>
      <c r="K34" s="134"/>
      <c r="L34" s="134"/>
      <c r="M34" s="134"/>
    </row>
    <row r="35" spans="5:13" x14ac:dyDescent="0.25">
      <c r="E35" s="134"/>
      <c r="F35" s="134"/>
      <c r="G35" s="134"/>
      <c r="H35" s="134"/>
      <c r="I35" s="134"/>
      <c r="J35" s="134"/>
      <c r="K35" s="134"/>
      <c r="L35" s="134"/>
      <c r="M35" s="134"/>
    </row>
    <row r="36" spans="5:13" x14ac:dyDescent="0.25">
      <c r="E36" s="134"/>
      <c r="F36" s="134"/>
      <c r="G36" s="134"/>
      <c r="H36" s="134"/>
      <c r="I36" s="134"/>
      <c r="J36" s="134"/>
      <c r="K36" s="134"/>
      <c r="L36" s="134"/>
      <c r="M36" s="134"/>
    </row>
    <row r="37" spans="5:13" x14ac:dyDescent="0.25">
      <c r="E37" s="134"/>
      <c r="F37" s="134"/>
      <c r="G37" s="134"/>
      <c r="H37" s="134"/>
      <c r="I37" s="134"/>
      <c r="J37" s="134"/>
      <c r="K37" s="134"/>
      <c r="L37" s="134"/>
      <c r="M37" s="134"/>
    </row>
    <row r="38" spans="5:13" x14ac:dyDescent="0.25">
      <c r="E38" s="134"/>
      <c r="F38" s="134"/>
      <c r="G38" s="134"/>
      <c r="H38" s="134"/>
      <c r="I38" s="134"/>
      <c r="J38" s="134"/>
      <c r="K38" s="134"/>
      <c r="L38" s="134"/>
      <c r="M38" s="134"/>
    </row>
    <row r="39" spans="5:13" x14ac:dyDescent="0.25">
      <c r="E39" s="134"/>
      <c r="F39" s="134"/>
      <c r="G39" s="134"/>
      <c r="H39" s="134"/>
      <c r="I39" s="134"/>
      <c r="J39" s="134"/>
      <c r="K39" s="134"/>
      <c r="L39" s="134"/>
      <c r="M39" s="134"/>
    </row>
    <row r="40" spans="5:13" x14ac:dyDescent="0.25">
      <c r="E40" s="134"/>
      <c r="F40" s="134"/>
      <c r="G40" s="134"/>
      <c r="H40" s="134"/>
      <c r="I40" s="134"/>
      <c r="J40" s="134"/>
      <c r="K40" s="134"/>
      <c r="L40" s="134"/>
      <c r="M40" s="134"/>
    </row>
    <row r="41" spans="5:13" x14ac:dyDescent="0.25">
      <c r="E41" s="134"/>
      <c r="F41" s="134"/>
      <c r="G41" s="134"/>
      <c r="H41" s="134"/>
      <c r="I41" s="134"/>
      <c r="J41" s="134"/>
      <c r="K41" s="134"/>
      <c r="L41" s="134"/>
      <c r="M41" s="134"/>
    </row>
    <row r="42" spans="5:13" x14ac:dyDescent="0.25">
      <c r="E42" s="134"/>
      <c r="F42" s="134"/>
      <c r="G42" s="134"/>
      <c r="H42" s="134"/>
      <c r="I42" s="134"/>
      <c r="J42" s="134"/>
      <c r="K42" s="134"/>
      <c r="L42" s="134"/>
      <c r="M42" s="134"/>
    </row>
    <row r="43" spans="5:13" x14ac:dyDescent="0.25">
      <c r="E43" s="134"/>
      <c r="F43" s="134"/>
      <c r="G43" s="134"/>
      <c r="H43" s="134"/>
      <c r="I43" s="134"/>
      <c r="J43" s="134"/>
      <c r="K43" s="134"/>
      <c r="L43" s="134"/>
      <c r="M43" s="134"/>
    </row>
    <row r="44" spans="5:13" x14ac:dyDescent="0.25">
      <c r="E44" s="134"/>
      <c r="F44" s="134"/>
      <c r="G44" s="134"/>
      <c r="H44" s="134"/>
      <c r="I44" s="134"/>
      <c r="J44" s="134"/>
      <c r="K44" s="134"/>
      <c r="L44" s="134"/>
      <c r="M44" s="134"/>
    </row>
    <row r="45" spans="5:13" x14ac:dyDescent="0.25">
      <c r="E45" s="134"/>
      <c r="F45" s="134"/>
      <c r="G45" s="134"/>
      <c r="H45" s="134"/>
      <c r="I45" s="134"/>
      <c r="J45" s="134"/>
      <c r="K45" s="134"/>
      <c r="L45" s="134"/>
      <c r="M45" s="134"/>
    </row>
    <row r="46" spans="5:13" x14ac:dyDescent="0.25">
      <c r="E46" s="134"/>
      <c r="F46" s="134"/>
      <c r="G46" s="134"/>
      <c r="H46" s="134"/>
      <c r="I46" s="134"/>
      <c r="J46" s="134"/>
      <c r="K46" s="134"/>
      <c r="L46" s="134"/>
      <c r="M46" s="134"/>
    </row>
    <row r="47" spans="5:13" x14ac:dyDescent="0.25">
      <c r="E47" s="134"/>
      <c r="F47" s="134"/>
      <c r="G47" s="134"/>
      <c r="H47" s="134"/>
      <c r="I47" s="134"/>
      <c r="J47" s="134"/>
      <c r="K47" s="134"/>
      <c r="L47" s="134"/>
      <c r="M47" s="134"/>
    </row>
  </sheetData>
  <mergeCells count="11">
    <mergeCell ref="E31:M47"/>
    <mergeCell ref="C1:U2"/>
    <mergeCell ref="A3:A4"/>
    <mergeCell ref="B3:B4"/>
    <mergeCell ref="P3:P4"/>
    <mergeCell ref="S3:S4"/>
    <mergeCell ref="O3:O4"/>
    <mergeCell ref="N3:N4"/>
    <mergeCell ref="T3:U4"/>
    <mergeCell ref="Q3:Q4"/>
    <mergeCell ref="R3:R4"/>
  </mergeCells>
  <conditionalFormatting sqref="C6:C27">
    <cfRule type="cellIs" dxfId="14" priority="10" operator="greaterThan">
      <formula>0</formula>
    </cfRule>
  </conditionalFormatting>
  <conditionalFormatting sqref="N5:Q27">
    <cfRule type="cellIs" dxfId="13" priority="9" operator="greaterThan">
      <formula>0</formula>
    </cfRule>
  </conditionalFormatting>
  <conditionalFormatting sqref="C5:M27">
    <cfRule type="expression" dxfId="12" priority="8">
      <formula>C5&gt;0</formula>
    </cfRule>
  </conditionalFormatting>
  <conditionalFormatting sqref="T5">
    <cfRule type="expression" dxfId="11" priority="6">
      <formula>AND(U5="Si",P5&lt;&gt;0)</formula>
    </cfRule>
    <cfRule type="expression" dxfId="10" priority="7">
      <formula>AND(U5="No",P5&lt;&gt;0)</formula>
    </cfRule>
  </conditionalFormatting>
  <conditionalFormatting sqref="T6:T27">
    <cfRule type="expression" dxfId="9" priority="4">
      <formula>AND(U6="Si",P6&lt;&gt;0)</formula>
    </cfRule>
    <cfRule type="expression" dxfId="8" priority="5">
      <formula>AND(U6="No",P6&lt;&gt;0)</formula>
    </cfRule>
  </conditionalFormatting>
  <conditionalFormatting sqref="R5:R27">
    <cfRule type="cellIs" dxfId="7" priority="2" operator="lessThan">
      <formula>0</formula>
    </cfRule>
    <cfRule type="cellIs" dxfId="6" priority="3" operator="greaterThan">
      <formula>-1</formula>
    </cfRule>
  </conditionalFormatting>
  <conditionalFormatting sqref="R5:R27">
    <cfRule type="cellIs" priority="1" stopIfTrue="1" operator="equal">
      <formula>""</formula>
    </cfRule>
  </conditionalFormatting>
  <dataValidations count="1">
    <dataValidation type="list" showInputMessage="1" showErrorMessage="1" sqref="U5:U27" xr:uid="{D8C60C89-DCB8-42DD-9EB4-F39BCDD77994}">
      <formula1>"NO,SI"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Eliminar_Todo_Tacos_El_Cejas">
                <anchor moveWithCells="1" sizeWithCells="1">
                  <from>
                    <xdr:col>22</xdr:col>
                    <xdr:colOff>19050</xdr:colOff>
                    <xdr:row>10</xdr:row>
                    <xdr:rowOff>19050</xdr:rowOff>
                  </from>
                  <to>
                    <xdr:col>22</xdr:col>
                    <xdr:colOff>1314450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5CAB-11D6-417B-8943-ABF6E2323B4E}">
  <sheetPr codeName="Hoja9">
    <tabColor rgb="FF00B050"/>
  </sheetPr>
  <dimension ref="A1:AD43"/>
  <sheetViews>
    <sheetView showGridLines="0" tabSelected="1" topLeftCell="A3" zoomScaleNormal="100" workbookViewId="0">
      <pane xSplit="2" topLeftCell="C1" activePane="topRight" state="frozen"/>
      <selection pane="topRight" activeCell="X13" sqref="X13"/>
    </sheetView>
  </sheetViews>
  <sheetFormatPr baseColWidth="10" defaultRowHeight="15" x14ac:dyDescent="0.25"/>
  <cols>
    <col min="1" max="1" width="4" bestFit="1" customWidth="1"/>
    <col min="2" max="2" width="18.5703125" customWidth="1"/>
    <col min="3" max="18" width="7.42578125" customWidth="1"/>
    <col min="19" max="19" width="9" bestFit="1" customWidth="1"/>
    <col min="20" max="20" width="10.5703125" bestFit="1" customWidth="1"/>
    <col min="21" max="21" width="9" bestFit="1" customWidth="1"/>
    <col min="22" max="23" width="9" customWidth="1"/>
    <col min="24" max="24" width="15.7109375" customWidth="1"/>
    <col min="25" max="25" width="5.7109375" customWidth="1"/>
    <col min="26" max="26" width="5.5703125" customWidth="1"/>
    <col min="27" max="27" width="5.7109375" customWidth="1"/>
    <col min="28" max="28" width="20.5703125" bestFit="1" customWidth="1"/>
  </cols>
  <sheetData>
    <row r="1" spans="1:30" ht="19.149999999999999" customHeight="1" x14ac:dyDescent="0.25">
      <c r="A1" s="29"/>
      <c r="B1" s="29"/>
      <c r="C1" s="87" t="s">
        <v>130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30" ht="18" customHeight="1" thickBot="1" x14ac:dyDescent="0.3">
      <c r="A2" s="30"/>
      <c r="B2" s="31"/>
      <c r="C2" s="87"/>
      <c r="D2" s="87"/>
      <c r="E2" s="87"/>
      <c r="F2" s="87"/>
      <c r="G2" s="87"/>
      <c r="H2" s="87"/>
      <c r="I2" s="87"/>
      <c r="J2" s="87"/>
      <c r="K2" s="152"/>
      <c r="L2" s="152"/>
      <c r="M2" s="152"/>
      <c r="N2" s="152"/>
      <c r="O2" s="152"/>
      <c r="P2" s="152"/>
      <c r="Q2" s="152"/>
      <c r="R2" s="152"/>
      <c r="S2" s="88"/>
      <c r="T2" s="88"/>
      <c r="U2" s="88"/>
      <c r="V2" s="87"/>
      <c r="W2" s="87"/>
      <c r="X2" s="88"/>
      <c r="Y2" s="88"/>
      <c r="Z2" s="88"/>
    </row>
    <row r="3" spans="1:30" ht="31.15" customHeight="1" thickBot="1" x14ac:dyDescent="0.3">
      <c r="A3" s="189"/>
      <c r="B3" s="190"/>
      <c r="C3" s="149" t="s">
        <v>125</v>
      </c>
      <c r="D3" s="150"/>
      <c r="E3" s="150"/>
      <c r="F3" s="150"/>
      <c r="G3" s="150"/>
      <c r="H3" s="150"/>
      <c r="I3" s="150"/>
      <c r="J3" s="151"/>
      <c r="K3" s="193" t="s">
        <v>76</v>
      </c>
      <c r="L3" s="193"/>
      <c r="M3" s="129"/>
      <c r="N3" s="129"/>
      <c r="O3" s="129"/>
      <c r="P3" s="129"/>
      <c r="Q3" s="129"/>
      <c r="R3" s="105"/>
      <c r="S3" s="82"/>
      <c r="T3" s="82"/>
      <c r="U3" s="82"/>
      <c r="V3" s="104" t="s">
        <v>86</v>
      </c>
      <c r="W3" s="105"/>
      <c r="X3" s="101" t="s">
        <v>57</v>
      </c>
      <c r="Y3" s="89" t="s">
        <v>58</v>
      </c>
      <c r="Z3" s="90"/>
    </row>
    <row r="4" spans="1:30" ht="79.150000000000006" customHeight="1" thickBot="1" x14ac:dyDescent="0.3">
      <c r="A4" s="76" t="s">
        <v>3</v>
      </c>
      <c r="B4" s="95" t="s">
        <v>1</v>
      </c>
      <c r="C4" s="145" t="s">
        <v>116</v>
      </c>
      <c r="D4" s="147" t="s">
        <v>34</v>
      </c>
      <c r="E4" s="146" t="s">
        <v>126</v>
      </c>
      <c r="F4" s="146" t="s">
        <v>127</v>
      </c>
      <c r="G4" s="146" t="s">
        <v>77</v>
      </c>
      <c r="H4" s="146" t="s">
        <v>31</v>
      </c>
      <c r="I4" s="147" t="s">
        <v>128</v>
      </c>
      <c r="J4" s="148" t="s">
        <v>129</v>
      </c>
      <c r="K4" s="153" t="s">
        <v>116</v>
      </c>
      <c r="L4" s="153" t="s">
        <v>34</v>
      </c>
      <c r="M4" s="147" t="s">
        <v>126</v>
      </c>
      <c r="N4" s="147" t="s">
        <v>127</v>
      </c>
      <c r="O4" s="147" t="s">
        <v>77</v>
      </c>
      <c r="P4" s="147" t="s">
        <v>31</v>
      </c>
      <c r="Q4" s="147" t="s">
        <v>128</v>
      </c>
      <c r="R4" s="148" t="s">
        <v>129</v>
      </c>
      <c r="S4" s="110" t="s">
        <v>55</v>
      </c>
      <c r="T4" s="99" t="s">
        <v>56</v>
      </c>
      <c r="U4" s="97" t="s">
        <v>0</v>
      </c>
      <c r="V4" s="106" t="s">
        <v>86</v>
      </c>
      <c r="W4" s="108" t="s">
        <v>87</v>
      </c>
      <c r="X4" s="102"/>
      <c r="Y4" s="91"/>
      <c r="Z4" s="92"/>
      <c r="AB4" s="49" t="s">
        <v>60</v>
      </c>
      <c r="AC4" s="33">
        <f>SUM(S6:S28)</f>
        <v>262</v>
      </c>
    </row>
    <row r="5" spans="1:30" ht="15.6" customHeight="1" thickBot="1" x14ac:dyDescent="0.3">
      <c r="A5" s="77"/>
      <c r="B5" s="96"/>
      <c r="C5" s="50">
        <v>30</v>
      </c>
      <c r="D5" s="55">
        <v>30</v>
      </c>
      <c r="E5" s="55">
        <v>30</v>
      </c>
      <c r="F5" s="55">
        <v>30</v>
      </c>
      <c r="G5" s="55">
        <v>30</v>
      </c>
      <c r="H5" s="55">
        <v>30</v>
      </c>
      <c r="I5" s="55">
        <v>30</v>
      </c>
      <c r="J5" s="52">
        <v>30</v>
      </c>
      <c r="K5" s="56">
        <v>13</v>
      </c>
      <c r="L5" s="56">
        <v>13</v>
      </c>
      <c r="M5" s="55">
        <v>13</v>
      </c>
      <c r="N5" s="55">
        <v>13</v>
      </c>
      <c r="O5" s="55">
        <v>13</v>
      </c>
      <c r="P5" s="55">
        <v>13</v>
      </c>
      <c r="Q5" s="55">
        <v>13</v>
      </c>
      <c r="R5" s="52">
        <v>13</v>
      </c>
      <c r="S5" s="111"/>
      <c r="T5" s="100"/>
      <c r="U5" s="98"/>
      <c r="V5" s="107"/>
      <c r="W5" s="109"/>
      <c r="X5" s="103"/>
      <c r="Y5" s="93"/>
      <c r="Z5" s="94"/>
      <c r="AB5" s="32" t="s">
        <v>56</v>
      </c>
      <c r="AC5" s="37">
        <v>80</v>
      </c>
      <c r="AD5" t="s">
        <v>90</v>
      </c>
    </row>
    <row r="6" spans="1:30" ht="15.75" thickBot="1" x14ac:dyDescent="0.3">
      <c r="A6" s="184">
        <v>1</v>
      </c>
      <c r="B6" s="186" t="s">
        <v>2</v>
      </c>
      <c r="C6" s="194">
        <v>1</v>
      </c>
      <c r="D6" s="195"/>
      <c r="E6" s="36"/>
      <c r="F6" s="36"/>
      <c r="G6" s="36"/>
      <c r="H6" s="36"/>
      <c r="I6" s="36">
        <v>1</v>
      </c>
      <c r="J6" s="36"/>
      <c r="K6" s="177">
        <v>2</v>
      </c>
      <c r="L6" s="177"/>
      <c r="M6" s="177"/>
      <c r="N6" s="177"/>
      <c r="O6" s="177"/>
      <c r="P6" s="177"/>
      <c r="Q6" s="177"/>
      <c r="R6" s="178"/>
      <c r="S6" s="155">
        <f>SUMPRODUCT($C$5:$R$5,C6:R6)</f>
        <v>86</v>
      </c>
      <c r="T6" s="156">
        <f>IF(COUNTIF(C6:R6,"&gt;0")&gt;0,$AC$9,0)</f>
        <v>20</v>
      </c>
      <c r="U6" s="215">
        <f>S6+T6</f>
        <v>106</v>
      </c>
      <c r="V6" s="155">
        <v>106</v>
      </c>
      <c r="W6" s="157">
        <f>IF(U6=0,"",V6-U6)</f>
        <v>0</v>
      </c>
      <c r="X6" s="171"/>
      <c r="Y6" s="165"/>
      <c r="Z6" s="166" t="s">
        <v>111</v>
      </c>
      <c r="AB6" s="4" t="s">
        <v>0</v>
      </c>
      <c r="AC6" s="34">
        <f>SUM(AC4:AC5)</f>
        <v>342</v>
      </c>
    </row>
    <row r="7" spans="1:30" ht="15.75" thickBot="1" x14ac:dyDescent="0.3">
      <c r="A7" s="185">
        <v>2</v>
      </c>
      <c r="B7" s="187" t="s">
        <v>108</v>
      </c>
      <c r="C7" s="179"/>
      <c r="D7" s="191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180"/>
      <c r="S7" s="158">
        <f>SUMPRODUCT($C$5:$R$5,C7:R7)</f>
        <v>0</v>
      </c>
      <c r="T7" s="35">
        <f>IF(COUNTIF(C7:R7,"&gt;0")&gt;0,$AC$9,0)</f>
        <v>0</v>
      </c>
      <c r="U7" s="216">
        <f>S7+T7</f>
        <v>0</v>
      </c>
      <c r="V7" s="161"/>
      <c r="W7" s="162" t="str">
        <f t="shared" ref="W7:W28" si="0">IF(U7=0,"",V7-U7)</f>
        <v/>
      </c>
      <c r="X7" s="172"/>
      <c r="Y7" s="167"/>
      <c r="Z7" s="168" t="s">
        <v>59</v>
      </c>
    </row>
    <row r="8" spans="1:30" x14ac:dyDescent="0.25">
      <c r="A8" s="185">
        <v>3</v>
      </c>
      <c r="B8" s="187"/>
      <c r="C8" s="179"/>
      <c r="D8" s="191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180"/>
      <c r="S8" s="158">
        <f>SUMPRODUCT($C$5:$R$5,C8:R8)</f>
        <v>0</v>
      </c>
      <c r="T8" s="35">
        <f>IF(COUNTIF(C8:R8,"&gt;0")&gt;0,$AC$9,0)</f>
        <v>0</v>
      </c>
      <c r="U8" s="216">
        <f t="shared" ref="U8:U28" si="1">S8+T8</f>
        <v>0</v>
      </c>
      <c r="V8" s="161"/>
      <c r="W8" s="162" t="str">
        <f t="shared" si="0"/>
        <v/>
      </c>
      <c r="X8" s="172"/>
      <c r="Y8" s="167"/>
      <c r="Z8" s="168" t="s">
        <v>59</v>
      </c>
      <c r="AB8" s="2" t="s">
        <v>4</v>
      </c>
      <c r="AC8" s="3">
        <f>COUNTIF(S6:S28,"&gt;0")</f>
        <v>4</v>
      </c>
    </row>
    <row r="9" spans="1:30" ht="15.75" thickBot="1" x14ac:dyDescent="0.3">
      <c r="A9" s="185">
        <v>4</v>
      </c>
      <c r="B9" s="187" t="s">
        <v>8</v>
      </c>
      <c r="C9" s="179">
        <v>2</v>
      </c>
      <c r="D9" s="191"/>
      <c r="E9" s="39"/>
      <c r="F9" s="39"/>
      <c r="G9" s="39"/>
      <c r="H9" s="39"/>
      <c r="I9" s="39"/>
      <c r="J9" s="39"/>
      <c r="K9" s="39">
        <v>1</v>
      </c>
      <c r="L9" s="39"/>
      <c r="M9" s="39"/>
      <c r="N9" s="39"/>
      <c r="O9" s="39"/>
      <c r="P9" s="39"/>
      <c r="Q9" s="39"/>
      <c r="R9" s="180"/>
      <c r="S9" s="158">
        <f>SUMPRODUCT($C$5:$R$5,C9:R9)</f>
        <v>73</v>
      </c>
      <c r="T9" s="35">
        <f>IF(COUNTIF(C9:R9,"&gt;0")&gt;0,$AC$9,0)</f>
        <v>20</v>
      </c>
      <c r="U9" s="216">
        <f t="shared" si="1"/>
        <v>93</v>
      </c>
      <c r="V9" s="161">
        <v>93</v>
      </c>
      <c r="W9" s="162">
        <f t="shared" si="0"/>
        <v>0</v>
      </c>
      <c r="X9" s="172"/>
      <c r="Y9" s="167"/>
      <c r="Z9" s="168" t="s">
        <v>111</v>
      </c>
      <c r="AB9" s="4" t="s">
        <v>5</v>
      </c>
      <c r="AC9" s="5">
        <f>IF(AC8=0,0,AC5/AC8)</f>
        <v>20</v>
      </c>
    </row>
    <row r="10" spans="1:30" x14ac:dyDescent="0.25">
      <c r="A10" s="185">
        <v>5</v>
      </c>
      <c r="B10" s="187" t="s">
        <v>11</v>
      </c>
      <c r="C10" s="179"/>
      <c r="D10" s="191">
        <v>1</v>
      </c>
      <c r="E10" s="39"/>
      <c r="F10" s="39">
        <v>1</v>
      </c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180"/>
      <c r="S10" s="158">
        <f>SUMPRODUCT($C$5:$R$5,C10:R10)</f>
        <v>60</v>
      </c>
      <c r="T10" s="35">
        <f>IF(COUNTIF(C10:R10,"&gt;0")&gt;0,$AC$9,0)</f>
        <v>20</v>
      </c>
      <c r="U10" s="216">
        <f t="shared" si="1"/>
        <v>80</v>
      </c>
      <c r="V10" s="161">
        <v>80</v>
      </c>
      <c r="W10" s="162">
        <f t="shared" si="0"/>
        <v>0</v>
      </c>
      <c r="X10" s="172"/>
      <c r="Y10" s="167"/>
      <c r="Z10" s="168" t="s">
        <v>111</v>
      </c>
    </row>
    <row r="11" spans="1:30" x14ac:dyDescent="0.25">
      <c r="A11" s="185">
        <v>6</v>
      </c>
      <c r="B11" s="187" t="s">
        <v>10</v>
      </c>
      <c r="C11" s="179">
        <v>1</v>
      </c>
      <c r="D11" s="191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180">
        <v>1</v>
      </c>
      <c r="S11" s="158">
        <f>SUMPRODUCT($C$5:$R$5,C11:R11)</f>
        <v>43</v>
      </c>
      <c r="T11" s="35">
        <f>IF(COUNTIF(C11:R11,"&gt;0")&gt;0,$AC$9,0)</f>
        <v>20</v>
      </c>
      <c r="U11" s="216">
        <f t="shared" si="1"/>
        <v>63</v>
      </c>
      <c r="V11" s="161">
        <v>63</v>
      </c>
      <c r="W11" s="162">
        <f t="shared" si="0"/>
        <v>0</v>
      </c>
      <c r="X11" s="172"/>
      <c r="Y11" s="167"/>
      <c r="Z11" s="168" t="s">
        <v>111</v>
      </c>
    </row>
    <row r="12" spans="1:30" x14ac:dyDescent="0.25">
      <c r="A12" s="185">
        <v>7</v>
      </c>
      <c r="B12" s="187" t="s">
        <v>143</v>
      </c>
      <c r="C12" s="179"/>
      <c r="D12" s="191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180"/>
      <c r="S12" s="158">
        <f>SUMPRODUCT($C$5:$R$5,C12:R12)</f>
        <v>0</v>
      </c>
      <c r="T12" s="35">
        <f>IF(COUNTIF(C12:R12,"&gt;0")&gt;0,$AC$9,0)</f>
        <v>0</v>
      </c>
      <c r="U12" s="216">
        <f t="shared" si="1"/>
        <v>0</v>
      </c>
      <c r="V12" s="161"/>
      <c r="W12" s="162" t="str">
        <f t="shared" si="0"/>
        <v/>
      </c>
      <c r="X12" s="172"/>
      <c r="Y12" s="167"/>
      <c r="Z12" s="168" t="s">
        <v>59</v>
      </c>
    </row>
    <row r="13" spans="1:30" x14ac:dyDescent="0.25">
      <c r="A13" s="185">
        <v>8</v>
      </c>
      <c r="B13" s="187" t="s">
        <v>109</v>
      </c>
      <c r="C13" s="179"/>
      <c r="D13" s="191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180"/>
      <c r="S13" s="158">
        <f>SUMPRODUCT($C$5:$R$5,C13:R13)</f>
        <v>0</v>
      </c>
      <c r="T13" s="35">
        <f>IF(COUNTIF(C13:R13,"&gt;0")&gt;0,$AC$9,0)</f>
        <v>0</v>
      </c>
      <c r="U13" s="216">
        <f t="shared" si="1"/>
        <v>0</v>
      </c>
      <c r="V13" s="161"/>
      <c r="W13" s="162" t="str">
        <f t="shared" si="0"/>
        <v/>
      </c>
      <c r="X13" s="172"/>
      <c r="Y13" s="167"/>
      <c r="Z13" s="168" t="s">
        <v>59</v>
      </c>
    </row>
    <row r="14" spans="1:30" x14ac:dyDescent="0.25">
      <c r="A14" s="185">
        <v>9</v>
      </c>
      <c r="B14" s="187" t="s">
        <v>110</v>
      </c>
      <c r="C14" s="179"/>
      <c r="D14" s="191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180"/>
      <c r="S14" s="158">
        <f>SUMPRODUCT($C$5:$R$5,C14:R14)</f>
        <v>0</v>
      </c>
      <c r="T14" s="35">
        <f>IF(COUNTIF(C14:R14,"&gt;0")&gt;0,$AC$9,0)</f>
        <v>0</v>
      </c>
      <c r="U14" s="216">
        <f t="shared" si="1"/>
        <v>0</v>
      </c>
      <c r="V14" s="161"/>
      <c r="W14" s="162" t="str">
        <f t="shared" si="0"/>
        <v/>
      </c>
      <c r="X14" s="172"/>
      <c r="Y14" s="167"/>
      <c r="Z14" s="168" t="s">
        <v>59</v>
      </c>
    </row>
    <row r="15" spans="1:30" x14ac:dyDescent="0.25">
      <c r="A15" s="185">
        <v>10</v>
      </c>
      <c r="B15" s="187"/>
      <c r="C15" s="179"/>
      <c r="D15" s="191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180"/>
      <c r="S15" s="158">
        <f>SUMPRODUCT($C$5:$R$5,C15:R15)</f>
        <v>0</v>
      </c>
      <c r="T15" s="35">
        <f>IF(COUNTIF(C15:R15,"&gt;0")&gt;0,$AC$9,0)</f>
        <v>0</v>
      </c>
      <c r="U15" s="216">
        <f t="shared" si="1"/>
        <v>0</v>
      </c>
      <c r="V15" s="161"/>
      <c r="W15" s="162" t="str">
        <f t="shared" si="0"/>
        <v/>
      </c>
      <c r="X15" s="172"/>
      <c r="Y15" s="167"/>
      <c r="Z15" s="168" t="s">
        <v>59</v>
      </c>
      <c r="AD15" s="41"/>
    </row>
    <row r="16" spans="1:30" x14ac:dyDescent="0.25">
      <c r="A16" s="185">
        <v>11</v>
      </c>
      <c r="B16" s="187"/>
      <c r="C16" s="179"/>
      <c r="D16" s="191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180"/>
      <c r="S16" s="158">
        <f>SUMPRODUCT($C$5:$R$5,C16:R16)</f>
        <v>0</v>
      </c>
      <c r="T16" s="35">
        <f>IF(COUNTIF(C16:R16,"&gt;0")&gt;0,$AC$9,0)</f>
        <v>0</v>
      </c>
      <c r="U16" s="216">
        <f t="shared" si="1"/>
        <v>0</v>
      </c>
      <c r="V16" s="161"/>
      <c r="W16" s="162" t="str">
        <f t="shared" si="0"/>
        <v/>
      </c>
      <c r="X16" s="172"/>
      <c r="Y16" s="167"/>
      <c r="Z16" s="168" t="s">
        <v>59</v>
      </c>
    </row>
    <row r="17" spans="1:26" x14ac:dyDescent="0.25">
      <c r="A17" s="185">
        <v>12</v>
      </c>
      <c r="B17" s="187"/>
      <c r="C17" s="179"/>
      <c r="D17" s="191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180"/>
      <c r="S17" s="158">
        <f>SUMPRODUCT($C$5:$R$5,C17:R17)</f>
        <v>0</v>
      </c>
      <c r="T17" s="35">
        <f>IF(COUNTIF(C17:R17,"&gt;0")&gt;0,$AC$9,0)</f>
        <v>0</v>
      </c>
      <c r="U17" s="216">
        <f t="shared" si="1"/>
        <v>0</v>
      </c>
      <c r="V17" s="161"/>
      <c r="W17" s="162" t="str">
        <f t="shared" si="0"/>
        <v/>
      </c>
      <c r="X17" s="172"/>
      <c r="Y17" s="167"/>
      <c r="Z17" s="168" t="s">
        <v>59</v>
      </c>
    </row>
    <row r="18" spans="1:26" x14ac:dyDescent="0.25">
      <c r="A18" s="185">
        <v>13</v>
      </c>
      <c r="B18" s="187"/>
      <c r="C18" s="179"/>
      <c r="D18" s="191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180"/>
      <c r="S18" s="158">
        <f>SUMPRODUCT($C$5:$R$5,C18:R18)</f>
        <v>0</v>
      </c>
      <c r="T18" s="35">
        <f>IF(COUNTIF(C18:R18,"&gt;0")&gt;0,$AC$9,0)</f>
        <v>0</v>
      </c>
      <c r="U18" s="216">
        <f t="shared" si="1"/>
        <v>0</v>
      </c>
      <c r="V18" s="161"/>
      <c r="W18" s="162" t="str">
        <f t="shared" si="0"/>
        <v/>
      </c>
      <c r="X18" s="172"/>
      <c r="Y18" s="167"/>
      <c r="Z18" s="168" t="s">
        <v>59</v>
      </c>
    </row>
    <row r="19" spans="1:26" x14ac:dyDescent="0.25">
      <c r="A19" s="185">
        <v>14</v>
      </c>
      <c r="B19" s="187"/>
      <c r="C19" s="179"/>
      <c r="D19" s="191"/>
      <c r="E19" s="39"/>
      <c r="F19" s="40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180"/>
      <c r="S19" s="158">
        <f>SUMPRODUCT($C$5:$R$5,C19:R19)</f>
        <v>0</v>
      </c>
      <c r="T19" s="35">
        <f>IF(COUNTIF(C19:R19,"&gt;0")&gt;0,$AC$9,0)</f>
        <v>0</v>
      </c>
      <c r="U19" s="216">
        <f t="shared" si="1"/>
        <v>0</v>
      </c>
      <c r="V19" s="161"/>
      <c r="W19" s="162" t="str">
        <f t="shared" si="0"/>
        <v/>
      </c>
      <c r="X19" s="172"/>
      <c r="Y19" s="167"/>
      <c r="Z19" s="168" t="s">
        <v>59</v>
      </c>
    </row>
    <row r="20" spans="1:26" x14ac:dyDescent="0.25">
      <c r="A20" s="185">
        <v>15</v>
      </c>
      <c r="B20" s="187"/>
      <c r="C20" s="179"/>
      <c r="D20" s="191"/>
      <c r="E20" s="39"/>
      <c r="F20" s="39"/>
      <c r="G20" s="39"/>
      <c r="H20" s="39"/>
      <c r="I20" s="39"/>
      <c r="J20" s="39"/>
      <c r="K20" s="40"/>
      <c r="L20" s="40"/>
      <c r="M20" s="40"/>
      <c r="N20" s="40"/>
      <c r="O20" s="40"/>
      <c r="P20" s="39"/>
      <c r="Q20" s="39"/>
      <c r="R20" s="180"/>
      <c r="S20" s="158">
        <f>SUMPRODUCT($C$5:$R$5,C20:R20)</f>
        <v>0</v>
      </c>
      <c r="T20" s="35">
        <f>IF(COUNTIF(C20:R20,"&gt;0")&gt;0,$AC$9,0)</f>
        <v>0</v>
      </c>
      <c r="U20" s="216">
        <f t="shared" si="1"/>
        <v>0</v>
      </c>
      <c r="V20" s="161"/>
      <c r="W20" s="162" t="str">
        <f t="shared" si="0"/>
        <v/>
      </c>
      <c r="X20" s="172"/>
      <c r="Y20" s="167"/>
      <c r="Z20" s="168" t="s">
        <v>59</v>
      </c>
    </row>
    <row r="21" spans="1:26" x14ac:dyDescent="0.25">
      <c r="A21" s="185">
        <v>16</v>
      </c>
      <c r="B21" s="187"/>
      <c r="C21" s="179"/>
      <c r="D21" s="191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180"/>
      <c r="S21" s="158">
        <f>SUMPRODUCT($C$5:$R$5,C21:R21)</f>
        <v>0</v>
      </c>
      <c r="T21" s="35">
        <f>IF(COUNTIF(C21:R21,"&gt;0")&gt;0,$AC$9,0)</f>
        <v>0</v>
      </c>
      <c r="U21" s="216">
        <f t="shared" si="1"/>
        <v>0</v>
      </c>
      <c r="V21" s="161"/>
      <c r="W21" s="162" t="str">
        <f t="shared" si="0"/>
        <v/>
      </c>
      <c r="X21" s="172"/>
      <c r="Y21" s="167"/>
      <c r="Z21" s="168" t="s">
        <v>59</v>
      </c>
    </row>
    <row r="22" spans="1:26" x14ac:dyDescent="0.25">
      <c r="A22" s="185">
        <v>17</v>
      </c>
      <c r="B22" s="187"/>
      <c r="C22" s="179"/>
      <c r="D22" s="191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180"/>
      <c r="S22" s="158">
        <f>SUMPRODUCT($C$5:$R$5,C22:R22)</f>
        <v>0</v>
      </c>
      <c r="T22" s="35">
        <f>IF(COUNTIF(C22:R22,"&gt;0")&gt;0,$AC$9,0)</f>
        <v>0</v>
      </c>
      <c r="U22" s="216">
        <f t="shared" si="1"/>
        <v>0</v>
      </c>
      <c r="V22" s="161"/>
      <c r="W22" s="162" t="str">
        <f t="shared" si="0"/>
        <v/>
      </c>
      <c r="X22" s="172"/>
      <c r="Y22" s="167"/>
      <c r="Z22" s="168" t="s">
        <v>59</v>
      </c>
    </row>
    <row r="23" spans="1:26" x14ac:dyDescent="0.25">
      <c r="A23" s="185">
        <v>18</v>
      </c>
      <c r="B23" s="187"/>
      <c r="C23" s="179"/>
      <c r="D23" s="191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180"/>
      <c r="S23" s="158">
        <f>SUMPRODUCT($C$5:$R$5,C23:R23)</f>
        <v>0</v>
      </c>
      <c r="T23" s="35">
        <f>IF(COUNTIF(C23:R23,"&gt;0")&gt;0,$AC$9,0)</f>
        <v>0</v>
      </c>
      <c r="U23" s="216">
        <f t="shared" si="1"/>
        <v>0</v>
      </c>
      <c r="V23" s="161"/>
      <c r="W23" s="162" t="str">
        <f t="shared" si="0"/>
        <v/>
      </c>
      <c r="X23" s="172"/>
      <c r="Y23" s="167"/>
      <c r="Z23" s="168" t="s">
        <v>59</v>
      </c>
    </row>
    <row r="24" spans="1:26" x14ac:dyDescent="0.25">
      <c r="A24" s="185">
        <v>19</v>
      </c>
      <c r="B24" s="187"/>
      <c r="C24" s="179"/>
      <c r="D24" s="191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180"/>
      <c r="S24" s="158">
        <f>SUMPRODUCT($C$5:$R$5,C24:R24)</f>
        <v>0</v>
      </c>
      <c r="T24" s="35">
        <f>IF(COUNTIF(C24:R24,"&gt;0")&gt;0,$AC$9,0)</f>
        <v>0</v>
      </c>
      <c r="U24" s="216">
        <f>S24+T24</f>
        <v>0</v>
      </c>
      <c r="V24" s="161"/>
      <c r="W24" s="162" t="str">
        <f t="shared" si="0"/>
        <v/>
      </c>
      <c r="X24" s="172"/>
      <c r="Y24" s="167"/>
      <c r="Z24" s="168" t="s">
        <v>59</v>
      </c>
    </row>
    <row r="25" spans="1:26" x14ac:dyDescent="0.25">
      <c r="A25" s="185">
        <v>20</v>
      </c>
      <c r="B25" s="187"/>
      <c r="C25" s="179"/>
      <c r="D25" s="191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180"/>
      <c r="S25" s="158">
        <f>SUMPRODUCT($C$5:$R$5,C25:R25)</f>
        <v>0</v>
      </c>
      <c r="T25" s="35">
        <f>IF(COUNTIF(C25:R25,"&gt;0")&gt;0,$AC$9,0)</f>
        <v>0</v>
      </c>
      <c r="U25" s="216">
        <f t="shared" si="1"/>
        <v>0</v>
      </c>
      <c r="V25" s="161"/>
      <c r="W25" s="162" t="str">
        <f t="shared" si="0"/>
        <v/>
      </c>
      <c r="X25" s="172"/>
      <c r="Y25" s="167"/>
      <c r="Z25" s="168" t="s">
        <v>59</v>
      </c>
    </row>
    <row r="26" spans="1:26" x14ac:dyDescent="0.25">
      <c r="A26" s="185">
        <v>21</v>
      </c>
      <c r="B26" s="187"/>
      <c r="C26" s="179"/>
      <c r="D26" s="191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180"/>
      <c r="S26" s="158">
        <f>SUMPRODUCT($C$5:$R$5,C26:R26)</f>
        <v>0</v>
      </c>
      <c r="T26" s="35">
        <f>IF(COUNTIF(C26:R26,"&gt;0")&gt;0,$AC$9,0)</f>
        <v>0</v>
      </c>
      <c r="U26" s="216">
        <f t="shared" si="1"/>
        <v>0</v>
      </c>
      <c r="V26" s="161"/>
      <c r="W26" s="162" t="str">
        <f t="shared" si="0"/>
        <v/>
      </c>
      <c r="X26" s="172"/>
      <c r="Y26" s="167"/>
      <c r="Z26" s="168" t="s">
        <v>59</v>
      </c>
    </row>
    <row r="27" spans="1:26" x14ac:dyDescent="0.25">
      <c r="A27" s="185">
        <v>22</v>
      </c>
      <c r="B27" s="187"/>
      <c r="C27" s="179"/>
      <c r="D27" s="191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180"/>
      <c r="S27" s="158">
        <f>SUMPRODUCT($C$5:$R$5,C27:R27)</f>
        <v>0</v>
      </c>
      <c r="T27" s="35">
        <f>IF(COUNTIF(C27:R27,"&gt;0")&gt;0,$AC$9,0)</f>
        <v>0</v>
      </c>
      <c r="U27" s="216">
        <f t="shared" si="1"/>
        <v>0</v>
      </c>
      <c r="V27" s="161"/>
      <c r="W27" s="162" t="str">
        <f t="shared" si="0"/>
        <v/>
      </c>
      <c r="X27" s="172"/>
      <c r="Y27" s="167"/>
      <c r="Z27" s="168" t="s">
        <v>59</v>
      </c>
    </row>
    <row r="28" spans="1:26" ht="15.75" thickBot="1" x14ac:dyDescent="0.3">
      <c r="A28" s="185">
        <v>23</v>
      </c>
      <c r="B28" s="188"/>
      <c r="C28" s="181"/>
      <c r="D28" s="19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3"/>
      <c r="S28" s="159">
        <f>SUMPRODUCT($C$5:$R$5,C28:R28)</f>
        <v>0</v>
      </c>
      <c r="T28" s="160">
        <f>IF(COUNTIF(C28:R28,"&gt;0")&gt;0,$AC$9,0)</f>
        <v>0</v>
      </c>
      <c r="U28" s="217">
        <f t="shared" si="1"/>
        <v>0</v>
      </c>
      <c r="V28" s="163"/>
      <c r="W28" s="164" t="str">
        <f t="shared" si="0"/>
        <v/>
      </c>
      <c r="X28" s="173"/>
      <c r="Y28" s="169"/>
      <c r="Z28" s="170" t="s">
        <v>59</v>
      </c>
    </row>
    <row r="30" spans="1:26" x14ac:dyDescent="0.25">
      <c r="U30" s="6">
        <f>SUM(U6:U28)</f>
        <v>342</v>
      </c>
    </row>
    <row r="31" spans="1:26" ht="14.45" customHeight="1" x14ac:dyDescent="0.25">
      <c r="G31" s="154"/>
      <c r="H31" s="154"/>
      <c r="I31" s="154"/>
      <c r="J31" s="154"/>
      <c r="K31" s="154"/>
      <c r="L31" s="154"/>
      <c r="M31" s="154"/>
      <c r="N31" s="154"/>
      <c r="O31" s="154"/>
      <c r="P31" s="154"/>
    </row>
    <row r="32" spans="1:26" ht="14.45" customHeight="1" x14ac:dyDescent="0.25">
      <c r="G32" s="154"/>
      <c r="H32" s="154"/>
      <c r="I32" s="154"/>
      <c r="J32" s="154"/>
      <c r="K32" s="154"/>
      <c r="L32" s="154"/>
      <c r="M32" s="154"/>
      <c r="N32" s="154"/>
      <c r="O32" s="154"/>
      <c r="P32" s="154"/>
    </row>
    <row r="33" spans="7:16" ht="14.45" customHeight="1" x14ac:dyDescent="0.25">
      <c r="G33" s="154"/>
      <c r="H33" s="154"/>
      <c r="I33" s="154"/>
      <c r="J33" s="154"/>
      <c r="K33" s="154"/>
      <c r="L33" s="154"/>
      <c r="M33" s="154"/>
      <c r="N33" s="154"/>
      <c r="O33" s="154"/>
      <c r="P33" s="154"/>
    </row>
    <row r="34" spans="7:16" ht="14.45" customHeight="1" x14ac:dyDescent="0.25">
      <c r="G34" s="154"/>
      <c r="H34" s="154"/>
      <c r="I34" s="154"/>
      <c r="J34" s="154"/>
      <c r="K34" s="154"/>
      <c r="L34" s="154"/>
      <c r="M34" s="154"/>
      <c r="N34" s="154"/>
      <c r="O34" s="154"/>
      <c r="P34" s="154"/>
    </row>
    <row r="35" spans="7:16" ht="14.45" customHeight="1" x14ac:dyDescent="0.25">
      <c r="G35" s="154"/>
      <c r="H35" s="154"/>
      <c r="I35" s="154"/>
      <c r="J35" s="154"/>
      <c r="K35" s="154"/>
      <c r="L35" s="154"/>
      <c r="M35" s="154"/>
      <c r="N35" s="154"/>
      <c r="O35" s="154"/>
      <c r="P35" s="154"/>
    </row>
    <row r="36" spans="7:16" ht="14.45" customHeight="1" x14ac:dyDescent="0.25">
      <c r="G36" s="154"/>
      <c r="H36" s="154"/>
      <c r="I36" s="154"/>
      <c r="J36" s="154"/>
      <c r="K36" s="154"/>
      <c r="L36" s="154"/>
      <c r="M36" s="154"/>
      <c r="N36" s="154"/>
      <c r="O36" s="154"/>
      <c r="P36" s="154"/>
    </row>
    <row r="37" spans="7:16" ht="14.45" customHeight="1" x14ac:dyDescent="0.25">
      <c r="G37" s="154"/>
      <c r="H37" s="154"/>
      <c r="I37" s="154"/>
      <c r="J37" s="154"/>
      <c r="K37" s="154"/>
      <c r="L37" s="154"/>
      <c r="M37" s="154"/>
      <c r="N37" s="154"/>
      <c r="O37" s="154"/>
      <c r="P37" s="154"/>
    </row>
    <row r="38" spans="7:16" ht="14.45" customHeight="1" x14ac:dyDescent="0.25">
      <c r="G38" s="154"/>
      <c r="H38" s="154"/>
      <c r="I38" s="154"/>
      <c r="J38" s="154"/>
      <c r="K38" s="154"/>
      <c r="L38" s="154"/>
      <c r="M38" s="154"/>
      <c r="N38" s="154"/>
      <c r="O38" s="154"/>
      <c r="P38" s="154"/>
    </row>
    <row r="39" spans="7:16" ht="14.45" customHeight="1" x14ac:dyDescent="0.25">
      <c r="G39" s="154"/>
      <c r="H39" s="154"/>
      <c r="I39" s="154"/>
      <c r="J39" s="154"/>
      <c r="K39" s="154"/>
      <c r="L39" s="154"/>
      <c r="M39" s="154"/>
      <c r="N39" s="154"/>
      <c r="O39" s="154"/>
      <c r="P39" s="154"/>
    </row>
    <row r="40" spans="7:16" ht="14.45" customHeight="1" x14ac:dyDescent="0.25">
      <c r="G40" s="154"/>
      <c r="H40" s="154"/>
      <c r="I40" s="154"/>
      <c r="J40" s="154"/>
      <c r="K40" s="154"/>
      <c r="L40" s="154"/>
      <c r="M40" s="154"/>
      <c r="N40" s="154"/>
      <c r="O40" s="154"/>
      <c r="P40" s="154"/>
    </row>
    <row r="41" spans="7:16" ht="14.45" customHeight="1" x14ac:dyDescent="0.25">
      <c r="G41" s="154"/>
      <c r="H41" s="154"/>
      <c r="I41" s="154"/>
      <c r="J41" s="154"/>
      <c r="K41" s="154"/>
      <c r="L41" s="154"/>
      <c r="M41" s="154"/>
      <c r="N41" s="154"/>
      <c r="O41" s="154"/>
      <c r="P41" s="154"/>
    </row>
    <row r="42" spans="7:16" ht="14.45" customHeight="1" x14ac:dyDescent="0.25">
      <c r="G42" s="154"/>
      <c r="H42" s="154"/>
      <c r="I42" s="154"/>
      <c r="J42" s="154"/>
      <c r="K42" s="154"/>
      <c r="L42" s="154"/>
      <c r="M42" s="154"/>
      <c r="N42" s="154"/>
      <c r="O42" s="154"/>
      <c r="P42" s="154"/>
    </row>
    <row r="43" spans="7:16" ht="14.45" customHeight="1" x14ac:dyDescent="0.25">
      <c r="G43" s="154"/>
      <c r="H43" s="154"/>
      <c r="I43" s="154"/>
      <c r="J43" s="154"/>
      <c r="K43" s="154"/>
      <c r="L43" s="154"/>
      <c r="M43" s="154"/>
      <c r="N43" s="154"/>
      <c r="O43" s="154"/>
      <c r="P43" s="154"/>
    </row>
  </sheetData>
  <sheetProtection formatCells="0" formatColumns="0" formatRows="0" insertColumns="0" insertRows="0" insertHyperlinks="0" deleteColumns="0" deleteRows="0" sort="0"/>
  <mergeCells count="15">
    <mergeCell ref="G31:P43"/>
    <mergeCell ref="K3:R3"/>
    <mergeCell ref="A4:A5"/>
    <mergeCell ref="B4:B5"/>
    <mergeCell ref="S4:S5"/>
    <mergeCell ref="T4:T5"/>
    <mergeCell ref="U4:U5"/>
    <mergeCell ref="V4:V5"/>
    <mergeCell ref="C1:Z2"/>
    <mergeCell ref="C3:J3"/>
    <mergeCell ref="S3:U3"/>
    <mergeCell ref="V3:W3"/>
    <mergeCell ref="X3:X5"/>
    <mergeCell ref="Y3:Z5"/>
    <mergeCell ref="W4:W5"/>
  </mergeCells>
  <conditionalFormatting sqref="S6:V28">
    <cfRule type="cellIs" dxfId="5" priority="8" operator="greaterThan">
      <formula>0</formula>
    </cfRule>
  </conditionalFormatting>
  <conditionalFormatting sqref="Y6:Y28">
    <cfRule type="expression" dxfId="4" priority="6">
      <formula>AND(Z6="Si",U6&lt;&gt;0)</formula>
    </cfRule>
    <cfRule type="expression" dxfId="3" priority="7">
      <formula>AND(Z6="No",U6&lt;&gt;0)</formula>
    </cfRule>
  </conditionalFormatting>
  <conditionalFormatting sqref="C6:R28">
    <cfRule type="expression" dxfId="2" priority="4">
      <formula>C6&gt;0</formula>
    </cfRule>
  </conditionalFormatting>
  <conditionalFormatting sqref="W6:W28">
    <cfRule type="cellIs" dxfId="1" priority="2" operator="lessThan">
      <formula>0</formula>
    </cfRule>
    <cfRule type="cellIs" dxfId="0" priority="3" operator="greaterThan">
      <formula>-1</formula>
    </cfRule>
  </conditionalFormatting>
  <conditionalFormatting sqref="W6:W28">
    <cfRule type="cellIs" priority="1" stopIfTrue="1" operator="equal">
      <formula>""</formula>
    </cfRule>
  </conditionalFormatting>
  <dataValidations count="2">
    <dataValidation type="list" showInputMessage="1" showErrorMessage="1" sqref="Z6:Z28" xr:uid="{FF15C228-1000-4F49-95EE-B87F2E90EDBF}">
      <formula1>"NO,SI"</formula1>
    </dataValidation>
    <dataValidation type="list" showDropDown="1" showInputMessage="1" showErrorMessage="1" sqref="Y6 Y8:Y28" xr:uid="{1C77A718-F570-41C5-8972-CDAD185A7ACD}">
      <formula1>"NO,SI"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Eliminar_Todo_GORDITAS_EL_MOLINO">
                <anchor moveWithCells="1" sizeWithCells="1">
                  <from>
                    <xdr:col>27</xdr:col>
                    <xdr:colOff>28575</xdr:colOff>
                    <xdr:row>10</xdr:row>
                    <xdr:rowOff>171450</xdr:rowOff>
                  </from>
                  <to>
                    <xdr:col>27</xdr:col>
                    <xdr:colOff>1314450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Eliminar_Todo_GASPE">
                <anchor moveWithCells="1" sizeWithCells="1">
                  <from>
                    <xdr:col>27</xdr:col>
                    <xdr:colOff>66675</xdr:colOff>
                    <xdr:row>14</xdr:row>
                    <xdr:rowOff>28575</xdr:rowOff>
                  </from>
                  <to>
                    <xdr:col>27</xdr:col>
                    <xdr:colOff>1343025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D8D10-AAA9-4636-A04C-FFF153840721}">
  <sheetPr codeName="Hoja4">
    <tabColor rgb="FF0070C0"/>
  </sheetPr>
  <dimension ref="A1:B14"/>
  <sheetViews>
    <sheetView workbookViewId="0">
      <selection activeCell="E27" sqref="E27"/>
    </sheetView>
  </sheetViews>
  <sheetFormatPr baseColWidth="10" defaultRowHeight="15" x14ac:dyDescent="0.25"/>
  <cols>
    <col min="1" max="1" width="41.28515625" customWidth="1"/>
    <col min="2" max="2" width="33.42578125" customWidth="1"/>
  </cols>
  <sheetData>
    <row r="1" spans="1:2" x14ac:dyDescent="0.25">
      <c r="A1" s="242" t="s">
        <v>132</v>
      </c>
      <c r="B1" s="243" t="s">
        <v>131</v>
      </c>
    </row>
    <row r="2" spans="1:2" ht="15.75" thickBot="1" x14ac:dyDescent="0.3">
      <c r="A2" s="244"/>
      <c r="B2" s="245"/>
    </row>
    <row r="3" spans="1:2" x14ac:dyDescent="0.25">
      <c r="A3" s="236" t="s">
        <v>133</v>
      </c>
      <c r="B3" s="237">
        <v>2022</v>
      </c>
    </row>
    <row r="4" spans="1:2" ht="15.75" thickBot="1" x14ac:dyDescent="0.3">
      <c r="A4" s="238"/>
      <c r="B4" s="239"/>
    </row>
    <row r="5" spans="1:2" ht="15.75" thickBot="1" x14ac:dyDescent="0.3">
      <c r="A5" s="240" t="s">
        <v>141</v>
      </c>
      <c r="B5" s="241" t="s">
        <v>140</v>
      </c>
    </row>
    <row r="6" spans="1:2" x14ac:dyDescent="0.25">
      <c r="A6" s="167" t="s">
        <v>134</v>
      </c>
      <c r="B6" s="233" t="s">
        <v>142</v>
      </c>
    </row>
    <row r="7" spans="1:2" x14ac:dyDescent="0.25">
      <c r="A7" s="202" t="s">
        <v>135</v>
      </c>
      <c r="B7" s="234" t="s">
        <v>142</v>
      </c>
    </row>
    <row r="8" spans="1:2" x14ac:dyDescent="0.25">
      <c r="A8" s="202" t="s">
        <v>136</v>
      </c>
      <c r="B8" s="234" t="s">
        <v>142</v>
      </c>
    </row>
    <row r="9" spans="1:2" x14ac:dyDescent="0.25">
      <c r="A9" s="202" t="s">
        <v>137</v>
      </c>
      <c r="B9" s="234" t="s">
        <v>142</v>
      </c>
    </row>
    <row r="10" spans="1:2" x14ac:dyDescent="0.25">
      <c r="A10" s="202" t="s">
        <v>138</v>
      </c>
      <c r="B10" s="234" t="s">
        <v>142</v>
      </c>
    </row>
    <row r="11" spans="1:2" x14ac:dyDescent="0.25">
      <c r="A11" s="202" t="s">
        <v>139</v>
      </c>
      <c r="B11" s="235">
        <v>45212</v>
      </c>
    </row>
    <row r="12" spans="1:2" x14ac:dyDescent="0.25">
      <c r="A12" s="202"/>
      <c r="B12" s="231"/>
    </row>
    <row r="13" spans="1:2" x14ac:dyDescent="0.25">
      <c r="A13" s="202"/>
      <c r="B13" s="231"/>
    </row>
    <row r="14" spans="1:2" ht="15.75" thickBot="1" x14ac:dyDescent="0.3">
      <c r="A14" s="203"/>
      <c r="B14" s="232"/>
    </row>
  </sheetData>
  <mergeCells count="4">
    <mergeCell ref="A1:A2"/>
    <mergeCell ref="B1:B2"/>
    <mergeCell ref="B3:B4"/>
    <mergeCell ref="A3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TORTAS ORLANZINI</vt:lpstr>
      <vt:lpstr>TACOS EL CHANGO</vt:lpstr>
      <vt:lpstr>TACOS D'LEO</vt:lpstr>
      <vt:lpstr>SABROSI</vt:lpstr>
      <vt:lpstr>TACOS EL CEJAS</vt:lpstr>
      <vt:lpstr>GASPE</vt:lpstr>
      <vt:lpstr>Acerca 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Zamudio Pichardo</dc:creator>
  <cp:lastModifiedBy>Daniel Zamudio Pichardo</cp:lastModifiedBy>
  <dcterms:created xsi:type="dcterms:W3CDTF">2022-10-14T16:10:51Z</dcterms:created>
  <dcterms:modified xsi:type="dcterms:W3CDTF">2023-10-13T18:27:36Z</dcterms:modified>
</cp:coreProperties>
</file>